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matrixil-my.sharepoint.com/personal/ranaz_matrix_co_il/Documents/Desktop/Desktop/Drive/RAN/Claude/SKILL/GOOD/GILI/"/>
    </mc:Choice>
  </mc:AlternateContent>
  <xr:revisionPtr revIDLastSave="3" documentId="11_97397B158860ABF611E6FE943D2B0A51B879ABA9" xr6:coauthVersionLast="47" xr6:coauthVersionMax="47" xr10:uidLastSave="{0D9C6197-7874-4083-BBAF-B317211208E8}"/>
  <bookViews>
    <workbookView xWindow="-28920" yWindow="1545" windowWidth="29040" windowHeight="15720" xr2:uid="{00000000-000D-0000-FFFF-FFFF00000000}"/>
  </bookViews>
  <sheets>
    <sheet name="לקוחות לפי אזור" sheetId="1" r:id="rId1"/>
    <sheet name="מקרא אזורים" sheetId="2" r:id="rId2"/>
  </sheets>
  <definedNames>
    <definedName name="_xlnm._FilterDatabase" localSheetId="0" hidden="1">'לקוחות לפי אזור'!$A$1:$H$202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02" i="1" l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<sst xmlns="http://schemas.openxmlformats.org/spreadsheetml/2006/main" count="1470" uniqueCount="483">
  <si>
    <t>קוד כרטיס</t>
  </si>
  <si>
    <t>שם לקוח</t>
  </si>
  <si>
    <t>עיר</t>
  </si>
  <si>
    <t>כתובת</t>
  </si>
  <si>
    <t>אזור גיאוגרפי</t>
  </si>
  <si>
    <t>יום אספקה</t>
  </si>
  <si>
    <t>X - ימים</t>
  </si>
  <si>
    <t>יום ביקור סוכן</t>
  </si>
  <si>
    <t>רמזור</t>
  </si>
  <si>
    <t>יום ביקור</t>
  </si>
  <si>
    <t>שבוע 1</t>
  </si>
  <si>
    <t>שבוע 2</t>
  </si>
  <si>
    <t>שבוע 3</t>
  </si>
  <si>
    <t>שבוע 4</t>
  </si>
  <si>
    <t xml:space="preserve"> מנ מ</t>
  </si>
  <si>
    <t>אופקים</t>
  </si>
  <si>
    <t>הרצל 23.</t>
  </si>
  <si>
    <t>דרום</t>
  </si>
  <si>
    <t>ה</t>
  </si>
  <si>
    <t>שלישי</t>
  </si>
  <si>
    <t>א.ב. כל בו חשמל בע"מ</t>
  </si>
  <si>
    <t>ראשלצ</t>
  </si>
  <si>
    <t>שד' יעקב 50</t>
  </si>
  <si>
    <t>מרכז</t>
  </si>
  <si>
    <t>ב</t>
  </si>
  <si>
    <t>חמישי</t>
  </si>
  <si>
    <t>א.חרמש שיווק ישיר בע"מ</t>
  </si>
  <si>
    <t>פתח תקווה</t>
  </si>
  <si>
    <t>ז'בוטינסקי 96  ,כתובת אספקה: רחוב לשם 11 פ"ת ברמפה</t>
  </si>
  <si>
    <t>א.ל.מ סחר - ביג בוקס- קניון איילון</t>
  </si>
  <si>
    <t>רמת גן</t>
  </si>
  <si>
    <t>קניון איילון</t>
  </si>
  <si>
    <t>א.ל.מ סחר -אשקלון</t>
  </si>
  <si>
    <t>אשקלון</t>
  </si>
  <si>
    <t>גלובוס סנטר</t>
  </si>
  <si>
    <t>א.ל.מ סחר -ביג בוקס- בילו</t>
  </si>
  <si>
    <t>בילו סנטר</t>
  </si>
  <si>
    <t>אתר ברנר</t>
  </si>
  <si>
    <t>א.ל.מ סחר -ביג בוקס- ירושלים</t>
  </si>
  <si>
    <t>ירושלים</t>
  </si>
  <si>
    <t>א.ת. תלפיות</t>
  </si>
  <si>
    <t>ירושלים והסביבה</t>
  </si>
  <si>
    <t>א</t>
  </si>
  <si>
    <t>א.ל.מ סחר -ביג בוקס- נס ציונה 30</t>
  </si>
  <si>
    <t>נס ציונה</t>
  </si>
  <si>
    <t>הפטיש 6- פאוור סנטר</t>
  </si>
  <si>
    <t>א.ל.מ סחר -ביג בוקס- רמלה 31</t>
  </si>
  <si>
    <t>רמלה</t>
  </si>
  <si>
    <t>פאוור סנטר כותרת</t>
  </si>
  <si>
    <t>א.ל.מ סחר 2000- מודיעין</t>
  </si>
  <si>
    <t>מודיעין</t>
  </si>
  <si>
    <t>קניון עזריאלי, לב העיר 2</t>
  </si>
  <si>
    <t>א.ל.מ סחר 2000 בע"מ- קניון TLV תל אביב</t>
  </si>
  <si>
    <t>תל אביב</t>
  </si>
  <si>
    <t>החשמונאים 96    קניון TLV</t>
  </si>
  <si>
    <t>א.ל.מ סחר 2000 בע"מ-אופקים 33</t>
  </si>
  <si>
    <t>מנחם בגין מתחם GT</t>
  </si>
  <si>
    <t>א.ל.מ סחר 2000 בע"מ-אשדוד</t>
  </si>
  <si>
    <t>אשדוד</t>
  </si>
  <si>
    <t>מתחם טיב טעם זבוטינסקי 41</t>
  </si>
  <si>
    <t>א.ל.מ סחר 2000 בע"מ-אשקלון</t>
  </si>
  <si>
    <t>פאואר סנטר 28 מתחם סילבר</t>
  </si>
  <si>
    <t>א.ל.מ סחר 2000 בע"מ-ביג ב"ש</t>
  </si>
  <si>
    <t>באר שבע</t>
  </si>
  <si>
    <t>שד' חיל ההנדסה 3/2</t>
  </si>
  <si>
    <t>א.ל.מ סחר 2000 בע"מ-ביג יהוד</t>
  </si>
  <si>
    <t>יהוד</t>
  </si>
  <si>
    <t>אלטלף - מרכז ביג יהוד</t>
  </si>
  <si>
    <t>א.ל.מ סחר 2000 בע"מ-ביג פאשן גלילות</t>
  </si>
  <si>
    <t>רמת השרון</t>
  </si>
  <si>
    <t>מתחם ביג גלילות</t>
  </si>
  <si>
    <t>השרון</t>
  </si>
  <si>
    <t>ג</t>
  </si>
  <si>
    <t>ראשון</t>
  </si>
  <si>
    <t>א.ל.מ סחר 2000 בע"מ-בילו</t>
  </si>
  <si>
    <t>בילו</t>
  </si>
  <si>
    <t>מתחם בילו סנטר</t>
  </si>
  <si>
    <t>א.ל.מ סחר 2000 בע"מ-בית שמש</t>
  </si>
  <si>
    <t>בית שמש</t>
  </si>
  <si>
    <t>מרכז ביג יגאל אלון 3</t>
  </si>
  <si>
    <t>א.ל.מ סחר 2000 בע"מ-גבעתיים</t>
  </si>
  <si>
    <t>גבעתיים</t>
  </si>
  <si>
    <t>דרך רבין 53-קניון גבעתיים</t>
  </si>
  <si>
    <t>א.ל.מ סחר 2000 בע"מ-גדרה 64</t>
  </si>
  <si>
    <t>גדרה</t>
  </si>
  <si>
    <t>אברהם דורון 1 גדרה</t>
  </si>
  <si>
    <t>א.ל.מ סחר 2000 בע"מ-חולון</t>
  </si>
  <si>
    <t>חולון</t>
  </si>
  <si>
    <t>פלד 7</t>
  </si>
  <si>
    <t>א.ל.מ סחר 2000 בע"מ-י-ם תלפיות</t>
  </si>
  <si>
    <t>פייר קינג,הדר תלפיות</t>
  </si>
  <si>
    <t>א.ל.מ סחר 2000 בע"מ-יפו</t>
  </si>
  <si>
    <t>יפו</t>
  </si>
  <si>
    <t>שלבים 4</t>
  </si>
  <si>
    <t>א.ל.מ סחר 2000 בע"מ-יריד חבר</t>
  </si>
  <si>
    <t>גני התערוכה ביתן 10 תל אביב</t>
  </si>
  <si>
    <t>א.ל.מ סחר 2000 בע"מ-כרמי גת</t>
  </si>
  <si>
    <t>ביג כרמי גת</t>
  </si>
  <si>
    <t>שדרות לכיש</t>
  </si>
  <si>
    <t>א.ל.מ סחר 2000 בע"מ-מודיעין</t>
  </si>
  <si>
    <t>מתחם ישפרו סנטר 22</t>
  </si>
  <si>
    <t>א.ל.מ סחר 2000 בע"מ-מחסן 96 ראש העין</t>
  </si>
  <si>
    <t>ראש העין</t>
  </si>
  <si>
    <t>לב הארץ (מחסן)</t>
  </si>
  <si>
    <t>א.ל.מ סחר 2000 בע"מ-נתיבות</t>
  </si>
  <si>
    <t>נתיבות</t>
  </si>
  <si>
    <t>א.ל.מ סחר 2000 בע"מ-נתניה</t>
  </si>
  <si>
    <t>נתניה</t>
  </si>
  <si>
    <t>ביג פולג גיבורי ישראל 5</t>
  </si>
  <si>
    <t>א.ל.מ סחר 2000 בע"מ-סגולה פ"ת- 23</t>
  </si>
  <si>
    <t>הרב פינטו 20 א.ת סגולה</t>
  </si>
  <si>
    <t>א.ל.מ סחר 2000 בע"מ-פ"ת-אבנת</t>
  </si>
  <si>
    <t>קניון אבנת ז'בוטינסקי 74</t>
  </si>
  <si>
    <t>א.ל.מ סחר 2000 בע"מ-קניון ב"ש</t>
  </si>
  <si>
    <t>ב"ש</t>
  </si>
  <si>
    <t>גרנד קניון שד' דוד טוביהו 125</t>
  </si>
  <si>
    <t>א.ל.מ סחר 2000 בע"מ-קניון בת-ים</t>
  </si>
  <si>
    <t>בת ים</t>
  </si>
  <si>
    <t>יוספטל 228 קניון בת-ים</t>
  </si>
  <si>
    <t>א.ל.מ סחר 2000 בע"מ-ר"ג</t>
  </si>
  <si>
    <t>בני ברק</t>
  </si>
  <si>
    <t>ברוך הירש</t>
  </si>
  <si>
    <t>א.ל.מ סחר 2000 בע"מ-ראשון לציון חונים קונים</t>
  </si>
  <si>
    <t>ראשון לציון</t>
  </si>
  <si>
    <t>לישינסקי 9 -מתחם חונים קונים</t>
  </si>
  <si>
    <t>שני</t>
  </si>
  <si>
    <t>א.ל.מ סחר 2000 בע"מ-ראשל"צ מערב</t>
  </si>
  <si>
    <t>ילדי טהרן 5 מערב</t>
  </si>
  <si>
    <t>א.ל.מ סחר 2000 בע"מ-רחובות 27</t>
  </si>
  <si>
    <t>רחובות</t>
  </si>
  <si>
    <t>מתחם חצי חינם, דרך הים 1</t>
  </si>
  <si>
    <t>א.ל.מ סחר 2000 בע"מ-רמת אביב</t>
  </si>
  <si>
    <t>איינשטיין 40 קניון רמת אביב</t>
  </si>
  <si>
    <t>א.ל.מ סחר 2000 בע"מ-רמת השרון</t>
  </si>
  <si>
    <t>סוקולוב 58</t>
  </si>
  <si>
    <t>א.ל.מ סחר 2000 בע"מ-רעננה 8</t>
  </si>
  <si>
    <t>רעננה</t>
  </si>
  <si>
    <t>החרושת 14</t>
  </si>
  <si>
    <t>א.ל.מ סחר 2000 בע"מ-ש.א.ל תעשיה אווירית</t>
  </si>
  <si>
    <t>תעשיה אווירית אוהל ש.אל</t>
  </si>
  <si>
    <t>א.ל.מ סחר 2000 בע"מ רמלוד 22</t>
  </si>
  <si>
    <t>משה אדרת 4</t>
  </si>
  <si>
    <t>א.ע. אלון החשמל בע"מ</t>
  </si>
  <si>
    <t>אבן עזרא 35</t>
  </si>
  <si>
    <t>א.ע. אלון החשמל בע"מ-בית שמש</t>
  </si>
  <si>
    <t>נחל שורק 31</t>
  </si>
  <si>
    <t>א.ע. אלון החשמל בע"מ-קרית מלאכי</t>
  </si>
  <si>
    <t>קרית מלאכי</t>
  </si>
  <si>
    <t>א.ע. אלון החשמל סניף בילו</t>
  </si>
  <si>
    <t>קרית עקרון</t>
  </si>
  <si>
    <t>א.שרגא אור חשמל בעמ</t>
  </si>
  <si>
    <t>ערד</t>
  </si>
  <si>
    <t>הקנאים</t>
  </si>
  <si>
    <t>אינדקס</t>
  </si>
  <si>
    <t>רשב"י</t>
  </si>
  <si>
    <t>רביעי</t>
  </si>
  <si>
    <t>אליאס מכונות גילוח בע"מ-ראשלצ</t>
  </si>
  <si>
    <t>אלחנן 2</t>
  </si>
  <si>
    <t>אליאס מכונות גילוח בע"מ-תל אביב (ראשי)</t>
  </si>
  <si>
    <t>העליה 20</t>
  </si>
  <si>
    <t>אלקטרה קמעונאות בע"מ-ביג גדרה 139.</t>
  </si>
  <si>
    <t>ראשי מח' גדרה</t>
  </si>
  <si>
    <t>אלקטרה קמעונאות בע"מ-ראשי מח' רהט 189</t>
  </si>
  <si>
    <t>ראשי מח' רהט</t>
  </si>
  <si>
    <t>אלקטרה קמעונאות בעמ מח.חשמל 1576 יריד חבר</t>
  </si>
  <si>
    <t>גני התערוכה תל אביב</t>
  </si>
  <si>
    <t>אלקטרה קמעונאות בעמ מח.חשמל יריד קרנות השוטרים- 134</t>
  </si>
  <si>
    <t>רחבת הדש גני יהושוע</t>
  </si>
  <si>
    <t>אלקטריק הום (סעידיאן ראובן)</t>
  </si>
  <si>
    <t>הרצל 27</t>
  </si>
  <si>
    <t>אלקטריק שופ גזיאל בע"מ</t>
  </si>
  <si>
    <t>הרב ישעיהו משורר 16 פ"ת</t>
  </si>
  <si>
    <t>ביתאן יורם בעמ-ראשי</t>
  </si>
  <si>
    <t>אלפסי 20</t>
  </si>
  <si>
    <t>בנצי נעים</t>
  </si>
  <si>
    <t>יבנה</t>
  </si>
  <si>
    <t>שבזי 2</t>
  </si>
  <si>
    <t>גלי קור הסלון בע"מ</t>
  </si>
  <si>
    <t>בת אביב</t>
  </si>
  <si>
    <t>דובין אלקטרו -מכני בע"מ</t>
  </si>
  <si>
    <t>סדן 5</t>
  </si>
  <si>
    <t>דיגיטל אלקטריק בע"מ</t>
  </si>
  <si>
    <t>ראשל"צ</t>
  </si>
  <si>
    <t>סחרוב 17</t>
  </si>
  <si>
    <t>האחים איבגי מוצרי חשמל בע"מ</t>
  </si>
  <si>
    <t>לוד</t>
  </si>
  <si>
    <t>שדרת הציונות 1</t>
  </si>
  <si>
    <t>החשמל לצרכן - ראשל"צ מערב</t>
  </si>
  <si>
    <t>ילדי טהרן 6</t>
  </si>
  <si>
    <t>החשמל לצרכן בעמ-  ראשי- ראשל"צ מזרח</t>
  </si>
  <si>
    <t>פלוטיצקי</t>
  </si>
  <si>
    <t>החשמל לצרכן בעמ-יבנה</t>
  </si>
  <si>
    <t>הירמוך 1</t>
  </si>
  <si>
    <t>החשמל לצרכן בעמ-פתח-תקוה</t>
  </si>
  <si>
    <t>פתח תקוה</t>
  </si>
  <si>
    <t>בן ציון גליס 37</t>
  </si>
  <si>
    <t>ח.שלום בע"מ</t>
  </si>
  <si>
    <t xml:space="preserve">נתניה </t>
  </si>
  <si>
    <t>חשמל רובי (2012 - רמה) בעמ</t>
  </si>
  <si>
    <t>שער הגיא 2</t>
  </si>
  <si>
    <t>טיב טוב אלקטריק בע"מ</t>
  </si>
  <si>
    <t>יעקב פריימן 20 ראשון לציון</t>
  </si>
  <si>
    <t>טרקלין חשמל בע"מ -סניף נתב"ג 140 ח.פ ישן</t>
  </si>
  <si>
    <t>תעשיה אווירית מערב</t>
  </si>
  <si>
    <t>טרקלין חשמל מוצרי צריכה-- ראשלצ 115 חדש</t>
  </si>
  <si>
    <t>ילדי טהרן 5 קומה עליונה ראשלצ</t>
  </si>
  <si>
    <t>טרקלין חשמל מוצרי צריכה- 213 מודיעין עילית</t>
  </si>
  <si>
    <t>מודיעיען עילית 1</t>
  </si>
  <si>
    <t>טרקלין חשמל מוצרי צריכה- 72 יגאל אלון</t>
  </si>
  <si>
    <t>תל-אביב 1</t>
  </si>
  <si>
    <t>יגאל אלון-76</t>
  </si>
  <si>
    <t>טרקלין חשמל מוצרי צריכה- נתניה יוניברס קלאב 36</t>
  </si>
  <si>
    <t>המלאכה - מול יוניברס קלאב</t>
  </si>
  <si>
    <t>טרקלין חשמל מוצרי צריכה- שא"ל 144</t>
  </si>
  <si>
    <t>לוד 1</t>
  </si>
  <si>
    <t>שא"ל מבצע אביב,ת.אווירית מערב</t>
  </si>
  <si>
    <t>טרקלין חשמל מוצרי צריכה-אשדוד- 114</t>
  </si>
  <si>
    <t>אשדוד 1</t>
  </si>
  <si>
    <t>ראלי אלקטריק התקשורת 3</t>
  </si>
  <si>
    <t>טרקלין חשמל מוצרי צריכה-אשדוד 41</t>
  </si>
  <si>
    <t>הבושם 7 בניין יוניברס קלאב</t>
  </si>
  <si>
    <t>טרקלין חשמל מוצרי צריכה-אשדוד פלמח 219 חדש</t>
  </si>
  <si>
    <t>הפלמח 40 אשדוד</t>
  </si>
  <si>
    <t>טרקלין חשמל מוצרי צריכה-אשקלון גלובוס סנטר 127</t>
  </si>
  <si>
    <t>צומת מבקיעים - גלובוס סנטר</t>
  </si>
  <si>
    <t>טרקלין חשמל מוצרי צריכה-באר יעקב 155</t>
  </si>
  <si>
    <t>באר יעקב</t>
  </si>
  <si>
    <t>שא נס 17</t>
  </si>
  <si>
    <t>טרקלין חשמל מוצרי צריכה-באר שבע 119 חדש</t>
  </si>
  <si>
    <t>הנגרים 33/6 באר שבע</t>
  </si>
  <si>
    <t>טרקלין חשמל מוצרי צריכה-בני ברק 217 חדש</t>
  </si>
  <si>
    <t>רבי עקיבא 55 בני ברק</t>
  </si>
  <si>
    <t>טרקלין חשמל מוצרי צריכה-גדרה 135</t>
  </si>
  <si>
    <t>ביג-גדרה</t>
  </si>
  <si>
    <t>טרקלין חשמל מוצרי צריכה-דימונה- 118</t>
  </si>
  <si>
    <t>דימונה</t>
  </si>
  <si>
    <t>מרכז פרץ סנטר חנות 2</t>
  </si>
  <si>
    <t>טרקלין חשמל מוצרי צריכה-חולון 123</t>
  </si>
  <si>
    <t>הפלד 7 חולון מתחם מבנה</t>
  </si>
  <si>
    <t>טרקלין חשמל מוצרי צריכה-יהוד 122</t>
  </si>
  <si>
    <t>ביג-יהוד (אלטלף 4)</t>
  </si>
  <si>
    <t>טרקלין חשמל מוצרי צריכה-ירושלים- 215</t>
  </si>
  <si>
    <t>ירמיהו 60</t>
  </si>
  <si>
    <t>טרקלין חשמל מוצרי צריכה-קניון איילון 130</t>
  </si>
  <si>
    <t>ששת הימים 22</t>
  </si>
  <si>
    <t>טרקלין חשמל מוצרי צריכה-קניון בת ים 113</t>
  </si>
  <si>
    <t>בת-ים 1</t>
  </si>
  <si>
    <t>יוספטל-92</t>
  </si>
  <si>
    <t>טרקלין חשמל מוצרי צריכה-קניון ערד- 139</t>
  </si>
  <si>
    <t>ערד 1</t>
  </si>
  <si>
    <t>קניון ערד-הקנאים 27</t>
  </si>
  <si>
    <t>טרקלין חשמל מוצרי צריכה-קרית גת 84 חדש</t>
  </si>
  <si>
    <t>קרית גת</t>
  </si>
  <si>
    <t>דרך הדרום 3 מתחם ביג</t>
  </si>
  <si>
    <t>טרקלין חשמל מוצרי צריכה-רמלה-120</t>
  </si>
  <si>
    <t>דוד רזיאל 1 קניון עזריאלי</t>
  </si>
  <si>
    <t>טרקלין חשמל מוצרי צריכה-רעננה 125</t>
  </si>
  <si>
    <t>רעננה 1</t>
  </si>
  <si>
    <t>קניון רעננה</t>
  </si>
  <si>
    <t>טרקלין חשמל מוצרי צריכה-שוהם 157</t>
  </si>
  <si>
    <t>שוהם</t>
  </si>
  <si>
    <t>האגוז 9</t>
  </si>
  <si>
    <t>טרקלין חשמל מוצרי צריכה בע"מ -ביג קסטינה 134</t>
  </si>
  <si>
    <t>באר טוביה</t>
  </si>
  <si>
    <t>ביג קסטינה</t>
  </si>
  <si>
    <t>טרקלין חשמל מוצרי צריכה בע"מ -סניף נתב"ג 140 חדש</t>
  </si>
  <si>
    <t>טרקלין חשמל מוצרי צריכה בע"מ -סניף פתח תקוה 116 חדש</t>
  </si>
  <si>
    <t>פ"ת</t>
  </si>
  <si>
    <t>טרקלין חשמל מוצרי צריכה בעצ רמלוד 117 חדש</t>
  </si>
  <si>
    <t>קניון רמלוד צומת אחיאסף</t>
  </si>
  <si>
    <t>טרקלין חשמל מוצרי צריכה ירושלים 224</t>
  </si>
  <si>
    <t>גנרל פייר קניג 26</t>
  </si>
  <si>
    <t>טרקלין חשמל מוצרי צריכה ירושלים תלפיות 124</t>
  </si>
  <si>
    <t>התעשיה 10 מרכז ש.כהן תלפיות</t>
  </si>
  <si>
    <t>יריד ביתר בע"מ - ביתר עלית</t>
  </si>
  <si>
    <t>ביתר עילית</t>
  </si>
  <si>
    <t>הרן 14 מרכז שמחת משה  ,  דואר - יוחנן בן זכאי 15/1</t>
  </si>
  <si>
    <t>יריד ביתר בע"מ - ראשי</t>
  </si>
  <si>
    <t>אלעזר המודעי 7      דואר - יוחנן בן זכאי 15/1אלעזר</t>
  </si>
  <si>
    <t>יריד ביתר בע"מ - רמות</t>
  </si>
  <si>
    <t>רובין 21 רמות ד`</t>
  </si>
  <si>
    <t>ליאור החשמל</t>
  </si>
  <si>
    <t>בעלי המלאכה 8</t>
  </si>
  <si>
    <t>ליאור החשמל-כרמי גת</t>
  </si>
  <si>
    <t>כרמי גת</t>
  </si>
  <si>
    <t>לכיש 153 קומה 1 ביג</t>
  </si>
  <si>
    <t>מוצרי חשמל חיים .ר. בע"מ</t>
  </si>
  <si>
    <t>גבעת שמואל</t>
  </si>
  <si>
    <t>לוי אשכול 201 דואר עוזיאל 35</t>
  </si>
  <si>
    <t>מחסני חשמל אור יהודה 127- אלקטרה קמעונאות בעמ</t>
  </si>
  <si>
    <t>אור יהודה</t>
  </si>
  <si>
    <t>הסדנה 16</t>
  </si>
  <si>
    <t>מחסני חשמל אריאל 175 - אלקטרה קמעונאות בע"מ</t>
  </si>
  <si>
    <t>אריאל</t>
  </si>
  <si>
    <t>הבנאי 6</t>
  </si>
  <si>
    <t>מחסני חשמל אשדוד 109- אלקטרה קמעונאות בע"מ</t>
  </si>
  <si>
    <t>הבושם 12</t>
  </si>
  <si>
    <t>מחסני חשמל אשדוד 181 - אלקטרה קמעונאות בע"מ</t>
  </si>
  <si>
    <t>הבושם 14</t>
  </si>
  <si>
    <t>מחסני חשמל אשקלון 124- אלקטרה קמעונאות בעמ</t>
  </si>
  <si>
    <t>הפנינים 53</t>
  </si>
  <si>
    <t>מחסני חשמל אשקלון 194- אלקטרה קמעונאות בעמ</t>
  </si>
  <si>
    <t>הפנינים 38</t>
  </si>
  <si>
    <t>מחסני חשמל ב"ש 105- אלקטרה קמעונאות בע"מ</t>
  </si>
  <si>
    <t>דרך חברון 21</t>
  </si>
  <si>
    <t>מחסני חשמל באר יעקב  184 - אלקטרה קמעונאות בע"מ</t>
  </si>
  <si>
    <t>ראשי מח' באר יעקב</t>
  </si>
  <si>
    <t>מחסני חשמל בילו 103- אלקטרה קמעונאות בע"מ</t>
  </si>
  <si>
    <t>ההדרים 10 כפר בילו -צומת בילו</t>
  </si>
  <si>
    <t>מחסני חשמל בית שמש 148- אלקטרה קמעונאות בעמ</t>
  </si>
  <si>
    <t>מתחם ביג בית שמש</t>
  </si>
  <si>
    <t>מחסני חשמל בת ים 190- אלקטרה קמעונאות בע"מ</t>
  </si>
  <si>
    <t>יוספטל 92 קניון בת ים(קומה עליונה )</t>
  </si>
  <si>
    <t>מחסני חשמל הרצליה 179 - אלקטרה קמעונאות בע"מ</t>
  </si>
  <si>
    <t>הרצליה</t>
  </si>
  <si>
    <t>משכית 33</t>
  </si>
  <si>
    <t>מחסני חשמל חולון מתחם רמי לוי 164 - אלקטרה קמעונאות בע"מ</t>
  </si>
  <si>
    <t>תמנע 6 מתחם רמי לוי</t>
  </si>
  <si>
    <t>מחסני חשמל ירושלים 112 - אלקטרה קמעונאות בע"מ</t>
  </si>
  <si>
    <t>פייר קניג 20  - תלפיות</t>
  </si>
  <si>
    <t>מחסני חשמל ירושלים מערב 129- אלקטרה קמעונאות בעמ</t>
  </si>
  <si>
    <t>כנפי נשרים 26</t>
  </si>
  <si>
    <t>מחסני חשמל כפר סבא 118- אלקטרה קמעונאות בעמ</t>
  </si>
  <si>
    <t>עתיר ידע 1 כפר סבא</t>
  </si>
  <si>
    <t>מחסני חשמל כפר קאסם 735- אלקטרה קמעונאות בע"מ</t>
  </si>
  <si>
    <t>כפר קאסם</t>
  </si>
  <si>
    <t>חמזה 3</t>
  </si>
  <si>
    <t>מחסני חשמל מבשרת 163- אלקטרה קמעונאות בע"מ</t>
  </si>
  <si>
    <t>שד' החוצבים 10 קניון מבשרת</t>
  </si>
  <si>
    <t>מחסני חשמל מודיעין 123- אלקטרה קמעונאות בעמ</t>
  </si>
  <si>
    <t>המלאכות ישפרו סנטר.</t>
  </si>
  <si>
    <t>מחסני חשמל מישור אדומים 173 - אלקטרה קמעונאות בע"מ</t>
  </si>
  <si>
    <t>מעלה אדומים</t>
  </si>
  <si>
    <t>שד' המייסדים 15</t>
  </si>
  <si>
    <t>מחסני חשמל מרלוג מודיעין 614 אלקטרה קמעונאות בע"מ</t>
  </si>
  <si>
    <t>צלע ההר 36</t>
  </si>
  <si>
    <t>מחסני חשמל נס ציונה 116- אלקטרה קמעונאות בעמ</t>
  </si>
  <si>
    <t>הפטיש 6</t>
  </si>
  <si>
    <t>מחסני חשמל סגולה 114 - אלקטרה קמעונאות בע"מ</t>
  </si>
  <si>
    <t>פינטו 20 צומת סגולה</t>
  </si>
  <si>
    <t>מחסני חשמל עזריאלי תל אביב 185- אלקטרה קמעונאות בעמ</t>
  </si>
  <si>
    <t>ראשי מח' עזריאלי תל אביב</t>
  </si>
  <si>
    <t>מחסני חשמל עטרות 193- אלקטרה קמעונאות בע"מ</t>
  </si>
  <si>
    <t>עטרות ירושלים</t>
  </si>
  <si>
    <t>דרך רמאללה 101 קניון רמי לוי עטרות</t>
  </si>
  <si>
    <t>מחסני חשמל פ"ת 178 - אלקטרה קמעונאות בע"מ</t>
  </si>
  <si>
    <t>ז'בוטינסקי 92</t>
  </si>
  <si>
    <t>מחסני חשמל קיבוץ גלויות 168 - אלקטרה קמעונאות בעמ</t>
  </si>
  <si>
    <t>קיבוץ גלויות 21</t>
  </si>
  <si>
    <t>מחסני חשמל קסטינה 150- אלקטרה קמעונאות בעמ</t>
  </si>
  <si>
    <t>א"ת באר טוביה 2001/1א קסטינה</t>
  </si>
  <si>
    <t>מחסני חשמל קרית גת 174-  אלקטרה קמעונאות בע"מ</t>
  </si>
  <si>
    <t>המסגר 13</t>
  </si>
  <si>
    <t>מחסני חשמל ר"ג 121- אלקטרה קמעונאות בע"מ</t>
  </si>
  <si>
    <t>מבצע קדש 56</t>
  </si>
  <si>
    <t>מחסני חשמל ראשי מח' רמלה  196 אלקטרה קמעונאות בעמ</t>
  </si>
  <si>
    <t>הרצל 91 קניון רמלה</t>
  </si>
  <si>
    <t>מחסני חשמל ראשי מח יבנה -142 אלקטרה קמעונאות בע"מ</t>
  </si>
  <si>
    <t>ראש מח יבנה</t>
  </si>
  <si>
    <t>מחסני חשמל ראשל"צ עודפים חונים קונים 125-אלקטרה קמעונאות בע"מ</t>
  </si>
  <si>
    <t>לישנסקי 9 קומה ב</t>
  </si>
  <si>
    <t>מחסני חשמל ראשלצ 104- אלקטרה קמעונאות בע"מ</t>
  </si>
  <si>
    <t>לישנסקי 9</t>
  </si>
  <si>
    <t>מחסני חשמל רחובות 126- אלקטרה קמעונאות בעמ</t>
  </si>
  <si>
    <t>מוטי קינד 10</t>
  </si>
  <si>
    <t>מחסני חשמל רעננה חדש 160 אלקטרה קמעונאות בעמ</t>
  </si>
  <si>
    <t>החרושת 5</t>
  </si>
  <si>
    <t>מחסני חשמל רשלצ עודפים 158- אלקטרה קמעונאות בעמ</t>
  </si>
  <si>
    <t>יוסף ספיר 1 שער צפוני אלקטרה</t>
  </si>
  <si>
    <t>מחסני חשמל תל אביב 110- אלקטרה קמעונאות בעמ</t>
  </si>
  <si>
    <t>יגאל אלון 127</t>
  </si>
  <si>
    <t>מידן נציגויות בע"מ</t>
  </si>
  <si>
    <t>סוקולוב 67</t>
  </si>
  <si>
    <t>מילניום ליין פתרונות תקשורת בע"מ- מזרח ראשלצ</t>
  </si>
  <si>
    <t>טוליפמן 2 א.ת. ישן</t>
  </si>
  <si>
    <t>מילניום ליין פתרונות תקשורת בע"מ- פתח תקוה יכין סנטר</t>
  </si>
  <si>
    <t>השחם 17 - מתחם יכין סנטר</t>
  </si>
  <si>
    <t>מילניום ליין פתרונות תקשורת בע"מ- ראשלצ מערב</t>
  </si>
  <si>
    <t>ראשון ציון</t>
  </si>
  <si>
    <t>נדב בסקינד</t>
  </si>
  <si>
    <t>מילניום ליין פתרונות תקשורת בע"מ- ת"א (לונדון מינסטור)</t>
  </si>
  <si>
    <t>דובנוב 7</t>
  </si>
  <si>
    <t>מילניום ליין פתרונות תקשורת בע"מ-פארק המדע</t>
  </si>
  <si>
    <t>אופנהיימר</t>
  </si>
  <si>
    <t>מילניום ליין פתרונות תקשורת בע"מ-רמת החייל*ראשי*</t>
  </si>
  <si>
    <t>הברזל 2 רמת החייל</t>
  </si>
  <si>
    <t>מיני זול מוצרי חשמל ומיזוג בעמ</t>
  </si>
  <si>
    <t>החרש 62</t>
  </si>
  <si>
    <t>מיני זול מוצרי חשמל ומיזוג בעמ-רדיו(אורון)</t>
  </si>
  <si>
    <t>בר כוכבא 3 פתח תקווה</t>
  </si>
  <si>
    <t>נחום אלקטריק בע"מ</t>
  </si>
  <si>
    <t>הרצל 187 רחובות</t>
  </si>
  <si>
    <t>סופר אבי בע"מ- אור יהודה</t>
  </si>
  <si>
    <t>- התעשיה 6</t>
  </si>
  <si>
    <t>סופר אבי בע"מ- איירפורט סיטי</t>
  </si>
  <si>
    <t>נתב"ג</t>
  </si>
  <si>
    <t>איירפורט סיטי</t>
  </si>
  <si>
    <t>סופר אבי בע"מ- אשדוד</t>
  </si>
  <si>
    <t>האורגים 4</t>
  </si>
  <si>
    <t>סופר אבי בע"מ- אשקלון</t>
  </si>
  <si>
    <t>הרצל 47</t>
  </si>
  <si>
    <t>סופר אבי בע"מ- באר שבע</t>
  </si>
  <si>
    <t>חיל ההנדסה 2</t>
  </si>
  <si>
    <t>סופר אבי בע"מ- בית שמש</t>
  </si>
  <si>
    <t>נחל סורק</t>
  </si>
  <si>
    <t>סופר אבי בע"מ- וירטואל בני ברק</t>
  </si>
  <si>
    <t>אהרנוביץ 12 בני ברק</t>
  </si>
  <si>
    <t>סופר אבי בע"מ- חולון</t>
  </si>
  <si>
    <t>המלאכה 6</t>
  </si>
  <si>
    <t>סופר אבי בע"מ- ירושלים תלפיות</t>
  </si>
  <si>
    <t>ירושלים תלפיות</t>
  </si>
  <si>
    <t>האומן 18 תלפיות</t>
  </si>
  <si>
    <t>סופר אבי בע"מ- מודיעין</t>
  </si>
  <si>
    <t>א.תעשיה שילת בנין מגה אור</t>
  </si>
  <si>
    <t>סופר אבי בע"מ- נס ציונה</t>
  </si>
  <si>
    <t>הפטיש 6 נס ציונה</t>
  </si>
  <si>
    <t>סופר אבי בע"מ- נתניה</t>
  </si>
  <si>
    <t>מרכז ביג פולג</t>
  </si>
  <si>
    <t>סופר אבי בע"מ- פתח תקווה</t>
  </si>
  <si>
    <t>השחם 1</t>
  </si>
  <si>
    <t>סופר אבי בע"מ- קרית גת</t>
  </si>
  <si>
    <t>ישראל פולק 5 קרית גת</t>
  </si>
  <si>
    <t>סופר אבי בע"מ- ראשי</t>
  </si>
  <si>
    <t>ת"א</t>
  </si>
  <si>
    <t>אלנבי 113</t>
  </si>
  <si>
    <t>סופר אבי בע"מ- ראשל"צ</t>
  </si>
  <si>
    <t>ילדי טהרן 5</t>
  </si>
  <si>
    <t>סופר אבי בע"מ- רחובות</t>
  </si>
  <si>
    <t>בית הפועלים 4 רחובות</t>
  </si>
  <si>
    <t>סופר אבי בע"מ- רמת גן איילון</t>
  </si>
  <si>
    <t>רמת גן איילון</t>
  </si>
  <si>
    <t>- ששת הימים 10</t>
  </si>
  <si>
    <t>סופר אבי בע"מ- ת"א אלנבי 113</t>
  </si>
  <si>
    <t>סופר אבי בע"מ- ת"א אלנבי 115  - לא מקבל סחורה</t>
  </si>
  <si>
    <t>אלנבי 115</t>
  </si>
  <si>
    <t>סופר אבי בע"מ-רמת השרון</t>
  </si>
  <si>
    <t>סוקולוב 64</t>
  </si>
  <si>
    <t>סופר גלורי-סופר אלקטריק בעמ-אשקלון</t>
  </si>
  <si>
    <t>צה"ל 99(מרכז אביאל)</t>
  </si>
  <si>
    <t>סופר גלורי-סופר אלקטריק בעמ-בת ים</t>
  </si>
  <si>
    <t>רוטשילד 34</t>
  </si>
  <si>
    <t>סופר גלורי-סופר אלקטריק בעמ-חולון</t>
  </si>
  <si>
    <t>המרכבה 38 סיירים סנטר</t>
  </si>
  <si>
    <t>סופר גלורי-סופר אלקטריק בעמ-ראשי</t>
  </si>
  <si>
    <t>סופר גלורי-סופר אלקטריק בעמ-ראשל"צ</t>
  </si>
  <si>
    <t>ראשלצ י.לישנסקי 10 (מול חונים קונים)</t>
  </si>
  <si>
    <t>סופר גלורי-סופר אלקטריק בעמ-רעננה</t>
  </si>
  <si>
    <t>רעננה התעשייה 19</t>
  </si>
  <si>
    <t>סינימה סאונד בע"מ</t>
  </si>
  <si>
    <t>דואני 18</t>
  </si>
  <si>
    <t>סלון חללית גבריאלי ראובן</t>
  </si>
  <si>
    <t>לה גרדיה 76</t>
  </si>
  <si>
    <t>רדיו אורון 1998 בע"מ פתח תקוה</t>
  </si>
  <si>
    <t>בר כוכבא 3</t>
  </si>
  <si>
    <t>רמי אלקטרוניקה</t>
  </si>
  <si>
    <t>שער העמק 1</t>
  </si>
  <si>
    <t>שגב אלקטריק בע"מ</t>
  </si>
  <si>
    <t>שטינברג אברהם-רפאלי אשדוד</t>
  </si>
  <si>
    <t>אליעזר בן הורקנוס 22</t>
  </si>
  <si>
    <t>שקם אלקטריק דיוטי פרי בע"מ - $ דיוטי 5809</t>
  </si>
  <si>
    <t>ברקת 9</t>
  </si>
  <si>
    <t>שקם אלקטריק דיוטי פרי בעמ - בית לקוח/תצוגות 809</t>
  </si>
  <si>
    <t>שקם אשדוד 518- אלקטרה קמעונאות בע"מ</t>
  </si>
  <si>
    <t>שקם אשדוד 530 - אלקטרה קמעונאות בע"מ</t>
  </si>
  <si>
    <t>זבוטינסקי 41 (פינת ויצמן) סטאר סנטר</t>
  </si>
  <si>
    <t>שקם אשקלון 545 - אלקטרה קמעונאות בע"מ</t>
  </si>
  <si>
    <t>פאואר סנטר צומת סילבר א.ת צפוני</t>
  </si>
  <si>
    <t>שקם ביג באר- שבע 393 - אלקטרה קמעונאות בע"מ</t>
  </si>
  <si>
    <t>חיל ההנדסה 1  ביג ב"ש</t>
  </si>
  <si>
    <t>שקם ירושלים תלפיות 560 - אלקטרה קמעונאות בע"מ</t>
  </si>
  <si>
    <t>פייר קניג 20</t>
  </si>
  <si>
    <t>שקם מעלה אדומים 563 - אלקטרה קמעונאות בע"מ</t>
  </si>
  <si>
    <t>שדרות המייסדים 15</t>
  </si>
  <si>
    <t>שקם סגולה פ"ת 557 - אלקטרה קמעונאות בע"מ</t>
  </si>
  <si>
    <t>פינטו 1 (צומת סגולה)</t>
  </si>
  <si>
    <t>שקם צומת  בילו 585-  אלקטרה קמעונאות בע"מ</t>
  </si>
  <si>
    <t>המלך חוסיין 3 - בילו סנטר</t>
  </si>
  <si>
    <t>שקם קרית גת 546- אלקטרה קמעונאות בע"מ</t>
  </si>
  <si>
    <t>דרך הדרום 3 - מרכז ביג</t>
  </si>
  <si>
    <t>שקם ראשון לציון מערב 380 - אלקטרה קמעונאות בע"מ</t>
  </si>
  <si>
    <t>שקם ראשלצ  579 - אלקטרה קמעונאות בע"מ</t>
  </si>
  <si>
    <t>רוטשילד 15  מרכז זד"ל פארק הברון</t>
  </si>
  <si>
    <t>מספר לקוחות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</si>
</sst>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name val="Arial"/>
    </font>
    <font>
      <sz val="11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25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C6EFCE"/>
      </patternFill>
    </fill>
    <fill>
      <patternFill patternType="solid">
        <fgColor rgb="FFF4CCCC"/>
      </patternFill>
    </fill>
    <fill>
      <patternFill patternType="solid">
        <fgColor rgb="FFFF9999"/>
      </patternFill>
    </fill>
    <fill>
      <patternFill patternType="solid">
        <fgColor rgb="FFEAD1DC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</patternFill>
    </fill>
    <fill>
      <patternFill patternType="solid">
        <fgColor rgb="FFFF9999"/>
      </patternFill>
    </fill>
    <fill>
      <patternFill patternType="solid">
        <fgColor rgb="FF00B0F0"/>
      </patternFill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rgb="FFFFFF00"/>
      </patternFill>
    </fill>
    <fill>
      <patternFill patternType="solid">
        <fgColor rgb="FFE2EFDA"/>
      </patternFill>
    </fill>
    <fill>
      <patternFill patternType="solid">
        <fgColor rgb="FF2F5597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</patternFill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rgb="FF92D050"/>
      </patternFill>
    </fill>
  </fills>
  <borders count="1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right"/>
    </xf>
    <xf numFmtId="0" fontId="4" fillId="6" borderId="1" xfId="0" applyFont="1" applyFill="1" applyBorder="1" applyAlignment="1">
      <alignment horizontal="center"/>
    </xf>
    <xf numFmtId="0" fontId="5" fillId="10" borderId="2" xfId="0" applyFont="1" applyFill="1" applyBorder="1" applyAlignment="1">
      <alignment horizontal="right"/>
    </xf>
    <xf numFmtId="0" fontId="6" fillId="10" borderId="2" xfId="0" applyFont="1" applyFill="1" applyBorder="1" applyAlignment="1">
      <alignment horizontal="center"/>
    </xf>
    <xf numFmtId="0" fontId="5" fillId="11" borderId="2" xfId="0" applyFont="1" applyFill="1" applyBorder="1" applyAlignment="1">
      <alignment horizontal="right"/>
    </xf>
    <xf numFmtId="0" fontId="6" fillId="11" borderId="2" xfId="0" applyFont="1" applyFill="1" applyBorder="1" applyAlignment="1">
      <alignment horizontal="center"/>
    </xf>
    <xf numFmtId="0" fontId="5" fillId="12" borderId="2" xfId="0" applyFont="1" applyFill="1" applyBorder="1" applyAlignment="1">
      <alignment horizontal="right"/>
    </xf>
    <xf numFmtId="0" fontId="6" fillId="12" borderId="2" xfId="0" applyFont="1" applyFill="1" applyBorder="1" applyAlignment="1">
      <alignment horizontal="center"/>
    </xf>
    <xf numFmtId="0" fontId="5" fillId="13" borderId="2" xfId="0" applyFont="1" applyFill="1" applyBorder="1" applyAlignment="1">
      <alignment horizontal="right"/>
    </xf>
    <xf numFmtId="0" fontId="6" fillId="13" borderId="2" xfId="0" applyFont="1" applyFill="1" applyBorder="1" applyAlignment="1">
      <alignment horizontal="center"/>
    </xf>
    <xf numFmtId="0" fontId="5" fillId="14" borderId="2" xfId="0" applyFont="1" applyFill="1" applyBorder="1" applyAlignment="1">
      <alignment horizontal="right"/>
    </xf>
    <xf numFmtId="0" fontId="6" fillId="14" borderId="2" xfId="0" applyFont="1" applyFill="1" applyBorder="1" applyAlignment="1">
      <alignment horizontal="center"/>
    </xf>
    <xf numFmtId="0" fontId="0" fillId="20" borderId="0" xfId="0" applyFill="1"/>
    <xf numFmtId="0" fontId="1" fillId="2" borderId="4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right" vertical="center"/>
    </xf>
    <xf numFmtId="0" fontId="8" fillId="12" borderId="3" xfId="0" applyFont="1" applyFill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0" fontId="2" fillId="20" borderId="3" xfId="0" applyFont="1" applyFill="1" applyBorder="1" applyAlignment="1">
      <alignment horizontal="right" vertical="center"/>
    </xf>
    <xf numFmtId="0" fontId="8" fillId="20" borderId="3" xfId="0" applyFont="1" applyFill="1" applyBorder="1" applyAlignment="1">
      <alignment horizontal="center" vertical="center"/>
    </xf>
    <xf numFmtId="0" fontId="9" fillId="20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right" vertical="center"/>
    </xf>
    <xf numFmtId="0" fontId="2" fillId="5" borderId="3" xfId="0" applyFont="1" applyFill="1" applyBorder="1" applyAlignment="1">
      <alignment horizontal="right" vertical="center"/>
    </xf>
    <xf numFmtId="0" fontId="8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right" vertical="center"/>
    </xf>
    <xf numFmtId="0" fontId="8" fillId="9" borderId="3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2" fillId="16" borderId="3" xfId="0" applyFont="1" applyFill="1" applyBorder="1" applyAlignment="1">
      <alignment horizontal="right" vertical="center"/>
    </xf>
    <xf numFmtId="0" fontId="2" fillId="7" borderId="3" xfId="0" applyFont="1" applyFill="1" applyBorder="1" applyAlignment="1">
      <alignment horizontal="right" vertical="center"/>
    </xf>
    <xf numFmtId="0" fontId="8" fillId="15" borderId="3" xfId="0" applyFont="1" applyFill="1" applyBorder="1" applyAlignment="1">
      <alignment horizontal="center" vertical="center"/>
    </xf>
    <xf numFmtId="0" fontId="9" fillId="15" borderId="3" xfId="0" applyFont="1" applyFill="1" applyBorder="1" applyAlignment="1">
      <alignment horizontal="center" vertical="center"/>
    </xf>
    <xf numFmtId="0" fontId="2" fillId="15" borderId="3" xfId="0" applyFont="1" applyFill="1" applyBorder="1" applyAlignment="1">
      <alignment horizontal="right" vertical="center"/>
    </xf>
    <xf numFmtId="0" fontId="0" fillId="18" borderId="3" xfId="0" applyFill="1" applyBorder="1"/>
    <xf numFmtId="0" fontId="0" fillId="20" borderId="3" xfId="0" applyFill="1" applyBorder="1"/>
    <xf numFmtId="0" fontId="0" fillId="19" borderId="3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2" fillId="20" borderId="6" xfId="0" applyFont="1" applyFill="1" applyBorder="1" applyAlignment="1">
      <alignment horizontal="right" vertical="center"/>
    </xf>
    <xf numFmtId="0" fontId="2" fillId="7" borderId="6" xfId="0" applyFont="1" applyFill="1" applyBorder="1" applyAlignment="1">
      <alignment horizontal="right" vertical="center"/>
    </xf>
    <xf numFmtId="0" fontId="2" fillId="9" borderId="6" xfId="0" applyFont="1" applyFill="1" applyBorder="1" applyAlignment="1">
      <alignment horizontal="right" vertical="center"/>
    </xf>
    <xf numFmtId="0" fontId="2" fillId="5" borderId="6" xfId="0" applyFont="1" applyFill="1" applyBorder="1" applyAlignment="1">
      <alignment horizontal="right" vertical="center"/>
    </xf>
    <xf numFmtId="0" fontId="2" fillId="8" borderId="6" xfId="0" applyFont="1" applyFill="1" applyBorder="1" applyAlignment="1">
      <alignment horizontal="right" vertical="center"/>
    </xf>
    <xf numFmtId="0" fontId="2" fillId="15" borderId="6" xfId="0" applyFont="1" applyFill="1" applyBorder="1" applyAlignment="1">
      <alignment horizontal="right" vertical="center"/>
    </xf>
    <xf numFmtId="0" fontId="0" fillId="21" borderId="3" xfId="0" applyFill="1" applyBorder="1" applyAlignment="1">
      <alignment horizontal="center"/>
    </xf>
    <xf numFmtId="0" fontId="0" fillId="22" borderId="3" xfId="0" applyFill="1" applyBorder="1" applyAlignment="1">
      <alignment horizontal="center"/>
    </xf>
    <xf numFmtId="0" fontId="0" fillId="23" borderId="3" xfId="0" applyFill="1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7" fillId="17" borderId="8" xfId="0" applyFont="1" applyFill="1" applyBorder="1" applyAlignment="1">
      <alignment horizontal="center" vertical="center" wrapText="1"/>
    </xf>
    <xf numFmtId="0" fontId="2" fillId="20" borderId="9" xfId="0" applyFont="1" applyFill="1" applyBorder="1" applyAlignment="1">
      <alignment horizontal="right" vertical="center"/>
    </xf>
    <xf numFmtId="0" fontId="0" fillId="22" borderId="10" xfId="0" applyFill="1" applyBorder="1" applyAlignment="1">
      <alignment horizontal="center"/>
    </xf>
    <xf numFmtId="0" fontId="2" fillId="7" borderId="9" xfId="0" applyFont="1" applyFill="1" applyBorder="1" applyAlignment="1">
      <alignment horizontal="right" vertical="center"/>
    </xf>
    <xf numFmtId="0" fontId="0" fillId="21" borderId="10" xfId="0" applyFill="1" applyBorder="1" applyAlignment="1">
      <alignment horizontal="center"/>
    </xf>
    <xf numFmtId="0" fontId="2" fillId="9" borderId="9" xfId="0" applyFont="1" applyFill="1" applyBorder="1" applyAlignment="1">
      <alignment horizontal="right" vertical="center"/>
    </xf>
    <xf numFmtId="0" fontId="2" fillId="5" borderId="9" xfId="0" applyFont="1" applyFill="1" applyBorder="1" applyAlignment="1">
      <alignment horizontal="right" vertical="center"/>
    </xf>
    <xf numFmtId="0" fontId="2" fillId="8" borderId="9" xfId="0" applyFont="1" applyFill="1" applyBorder="1" applyAlignment="1">
      <alignment horizontal="right" vertical="center"/>
    </xf>
    <xf numFmtId="0" fontId="0" fillId="24" borderId="10" xfId="0" applyFill="1" applyBorder="1" applyAlignment="1">
      <alignment horizontal="center"/>
    </xf>
    <xf numFmtId="0" fontId="2" fillId="15" borderId="9" xfId="0" applyFont="1" applyFill="1" applyBorder="1" applyAlignment="1">
      <alignment horizontal="right" vertical="center"/>
    </xf>
    <xf numFmtId="0" fontId="2" fillId="7" borderId="11" xfId="0" applyFont="1" applyFill="1" applyBorder="1" applyAlignment="1">
      <alignment horizontal="right" vertical="center"/>
    </xf>
    <xf numFmtId="0" fontId="2" fillId="7" borderId="12" xfId="0" applyFont="1" applyFill="1" applyBorder="1" applyAlignment="1">
      <alignment horizontal="right" vertical="center"/>
    </xf>
    <xf numFmtId="0" fontId="8" fillId="15" borderId="12" xfId="0" applyFont="1" applyFill="1" applyBorder="1" applyAlignment="1">
      <alignment horizontal="center" vertical="center"/>
    </xf>
    <xf numFmtId="0" fontId="9" fillId="15" borderId="12" xfId="0" applyFont="1" applyFill="1" applyBorder="1" applyAlignment="1">
      <alignment horizontal="center" vertical="center"/>
    </xf>
    <xf numFmtId="0" fontId="0" fillId="18" borderId="12" xfId="0" applyFill="1" applyBorder="1"/>
    <xf numFmtId="0" fontId="0" fillId="23" borderId="12" xfId="0" applyFill="1" applyBorder="1" applyAlignment="1">
      <alignment horizontal="center"/>
    </xf>
    <xf numFmtId="0" fontId="0" fillId="22" borderId="12" xfId="0" applyFill="1" applyBorder="1" applyAlignment="1">
      <alignment horizontal="center"/>
    </xf>
    <xf numFmtId="0" fontId="0" fillId="22" borderId="1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2"/>
  <sheetViews>
    <sheetView rightToLeft="1" tabSelected="1" topLeftCell="C1" zoomScale="120" zoomScaleNormal="120" workbookViewId="0">
      <pane ySplit="1" topLeftCell="A2" activePane="bottomLeft" state="frozen"/>
      <selection pane="bottomLeft" activeCell="L30" sqref="L30"/>
    </sheetView>
  </sheetViews>
  <sheetFormatPr defaultRowHeight="15" x14ac:dyDescent="0.25"/>
  <cols>
    <col min="1" max="1" width="12" customWidth="1"/>
    <col min="2" max="2" width="44" customWidth="1"/>
    <col min="3" max="3" width="20" customWidth="1"/>
    <col min="4" max="4" width="34" customWidth="1"/>
    <col min="5" max="5" width="24" customWidth="1"/>
    <col min="6" max="6" width="14" customWidth="1"/>
    <col min="7" max="7" width="12" customWidth="1"/>
    <col min="8" max="8" width="16" customWidth="1"/>
    <col min="10" max="14" width="12" customWidth="1"/>
  </cols>
  <sheetData>
    <row r="1" spans="1:14" ht="30" customHeight="1" x14ac:dyDescent="0.25">
      <c r="A1" s="17" t="s">
        <v>0</v>
      </c>
      <c r="B1" s="39" t="s">
        <v>1</v>
      </c>
      <c r="C1" s="50" t="s">
        <v>2</v>
      </c>
      <c r="D1" s="51" t="s">
        <v>3</v>
      </c>
      <c r="E1" s="51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2" t="s">
        <v>9</v>
      </c>
      <c r="K1" s="52" t="s">
        <v>10</v>
      </c>
      <c r="L1" s="52" t="s">
        <v>11</v>
      </c>
      <c r="M1" s="52" t="s">
        <v>12</v>
      </c>
      <c r="N1" s="52" t="s">
        <v>13</v>
      </c>
    </row>
    <row r="2" spans="1:14" x14ac:dyDescent="0.25">
      <c r="A2" s="21">
        <v>200979</v>
      </c>
      <c r="B2" s="40" t="s">
        <v>14</v>
      </c>
      <c r="C2" s="53" t="s">
        <v>15</v>
      </c>
      <c r="D2" s="21" t="s">
        <v>16</v>
      </c>
      <c r="E2" s="21" t="s">
        <v>17</v>
      </c>
      <c r="F2" s="22" t="s">
        <v>18</v>
      </c>
      <c r="G2" s="22">
        <v>2</v>
      </c>
      <c r="H2" s="23" t="str">
        <f>CHOOSE(IF(MOD(MATCH(F2,{"א","ב","ג","ד","ה","ו","ש"},0)-G2-1,7)+1&gt;=6,5,MOD(MATCH(F2,{"א","ב","ג","ד","ה","ו","ש"},0)-G2-1,7)+1),"א","ב","ג","ד","ה","ו","ש")</f>
        <v>ג</v>
      </c>
      <c r="I2" s="38"/>
      <c r="J2" s="46" t="s">
        <v>19</v>
      </c>
      <c r="K2" s="47"/>
      <c r="L2" s="46" t="s">
        <v>19</v>
      </c>
      <c r="M2" s="47"/>
      <c r="N2" s="54"/>
    </row>
    <row r="3" spans="1:14" x14ac:dyDescent="0.25">
      <c r="A3" s="32">
        <v>200868</v>
      </c>
      <c r="B3" s="41" t="s">
        <v>20</v>
      </c>
      <c r="C3" s="55" t="s">
        <v>21</v>
      </c>
      <c r="D3" s="32" t="s">
        <v>22</v>
      </c>
      <c r="E3" s="32" t="s">
        <v>23</v>
      </c>
      <c r="F3" s="33" t="s">
        <v>24</v>
      </c>
      <c r="G3" s="33">
        <v>4</v>
      </c>
      <c r="H3" s="34" t="str">
        <f>CHOOSE(IF(MOD(MATCH(F3,{"א","ב","ג","ד","ה","ו","ש"},0)-G3-1,7)+1&gt;=6,5,MOD(MATCH(F3,{"א","ב","ג","ד","ה","ו","ש"},0)-G3-1,7)+1),"א","ב","ג","ד","ה","ו","ש")</f>
        <v>ה</v>
      </c>
      <c r="I3" s="38"/>
      <c r="J3" s="46" t="s">
        <v>25</v>
      </c>
      <c r="K3" s="47"/>
      <c r="L3" s="47"/>
      <c r="M3" s="47"/>
      <c r="N3" s="56" t="s">
        <v>25</v>
      </c>
    </row>
    <row r="4" spans="1:14" x14ac:dyDescent="0.25">
      <c r="A4" s="32">
        <v>200007</v>
      </c>
      <c r="B4" s="41" t="s">
        <v>26</v>
      </c>
      <c r="C4" s="55" t="s">
        <v>27</v>
      </c>
      <c r="D4" s="32" t="s">
        <v>28</v>
      </c>
      <c r="E4" s="32" t="s">
        <v>23</v>
      </c>
      <c r="F4" s="33" t="s">
        <v>24</v>
      </c>
      <c r="G4" s="33">
        <v>4</v>
      </c>
      <c r="H4" s="34" t="str">
        <f>CHOOSE(IF(MOD(MATCH(F4,{"א","ב","ג","ד","ה","ו","ש"},0)-G4-1,7)+1&gt;=6,5,MOD(MATCH(F4,{"א","ב","ג","ד","ה","ו","ש"},0)-G4-1,7)+1),"א","ב","ג","ד","ה","ו","ש")</f>
        <v>ה</v>
      </c>
      <c r="I4" s="36"/>
      <c r="J4" s="48" t="s">
        <v>25</v>
      </c>
      <c r="K4" s="48" t="s">
        <v>25</v>
      </c>
      <c r="L4" s="47"/>
      <c r="M4" s="48" t="s">
        <v>25</v>
      </c>
      <c r="N4" s="54"/>
    </row>
    <row r="5" spans="1:14" x14ac:dyDescent="0.25">
      <c r="A5" s="32">
        <v>40</v>
      </c>
      <c r="B5" s="41" t="s">
        <v>29</v>
      </c>
      <c r="C5" s="55" t="s">
        <v>30</v>
      </c>
      <c r="D5" s="32" t="s">
        <v>31</v>
      </c>
      <c r="E5" s="32" t="s">
        <v>23</v>
      </c>
      <c r="F5" s="33" t="s">
        <v>24</v>
      </c>
      <c r="G5" s="33">
        <v>4</v>
      </c>
      <c r="H5" s="34" t="str">
        <f>CHOOSE(IF(MOD(MATCH(F5,{"א","ב","ג","ד","ה","ו","ש"},0)-G5-1,7)+1&gt;=6,5,MOD(MATCH(F5,{"א","ב","ג","ד","ה","ו","ש"},0)-G5-1,7)+1),"א","ב","ג","ד","ה","ו","ש")</f>
        <v>ה</v>
      </c>
      <c r="I5" s="36"/>
      <c r="J5" s="48" t="s">
        <v>25</v>
      </c>
      <c r="K5" s="48" t="s">
        <v>25</v>
      </c>
      <c r="L5" s="47"/>
      <c r="M5" s="48" t="s">
        <v>25</v>
      </c>
      <c r="N5" s="54"/>
    </row>
    <row r="6" spans="1:14" x14ac:dyDescent="0.25">
      <c r="A6" s="21">
        <v>28</v>
      </c>
      <c r="B6" s="40" t="s">
        <v>32</v>
      </c>
      <c r="C6" s="53" t="s">
        <v>33</v>
      </c>
      <c r="D6" s="21" t="s">
        <v>34</v>
      </c>
      <c r="E6" s="21" t="s">
        <v>17</v>
      </c>
      <c r="F6" s="22" t="s">
        <v>18</v>
      </c>
      <c r="G6" s="22">
        <v>2</v>
      </c>
      <c r="H6" s="23" t="str">
        <f>CHOOSE(IF(MOD(MATCH(F6,{"א","ב","ג","ד","ה","ו","ש"},0)-G6-1,7)+1&gt;=6,5,MOD(MATCH(F6,{"א","ב","ג","ד","ה","ו","ש"},0)-G6-1,7)+1),"א","ב","ג","ד","ה","ו","ש")</f>
        <v>ג</v>
      </c>
      <c r="I6" s="36"/>
      <c r="J6" s="48" t="s">
        <v>19</v>
      </c>
      <c r="K6" s="48" t="s">
        <v>19</v>
      </c>
      <c r="L6" s="47"/>
      <c r="M6" s="48" t="s">
        <v>19</v>
      </c>
      <c r="N6" s="54"/>
    </row>
    <row r="7" spans="1:14" x14ac:dyDescent="0.25">
      <c r="A7" s="32">
        <v>38</v>
      </c>
      <c r="B7" s="41" t="s">
        <v>35</v>
      </c>
      <c r="C7" s="55" t="s">
        <v>36</v>
      </c>
      <c r="D7" s="32" t="s">
        <v>37</v>
      </c>
      <c r="E7" s="32" t="s">
        <v>23</v>
      </c>
      <c r="F7" s="33" t="s">
        <v>24</v>
      </c>
      <c r="G7" s="33">
        <v>4</v>
      </c>
      <c r="H7" s="34" t="str">
        <f>CHOOSE(IF(MOD(MATCH(F7,{"א","ב","ג","ד","ה","ו","ש"},0)-G7-1,7)+1&gt;=6,5,MOD(MATCH(F7,{"א","ב","ג","ד","ה","ו","ש"},0)-G7-1,7)+1),"א","ב","ג","ד","ה","ו","ש")</f>
        <v>ה</v>
      </c>
      <c r="I7" s="36"/>
      <c r="J7" s="48" t="s">
        <v>25</v>
      </c>
      <c r="K7" s="48" t="s">
        <v>25</v>
      </c>
      <c r="L7" s="47"/>
      <c r="M7" s="48" t="s">
        <v>25</v>
      </c>
      <c r="N7" s="54"/>
    </row>
    <row r="8" spans="1:14" x14ac:dyDescent="0.25">
      <c r="A8" s="28">
        <v>44</v>
      </c>
      <c r="B8" s="42" t="s">
        <v>38</v>
      </c>
      <c r="C8" s="57" t="s">
        <v>39</v>
      </c>
      <c r="D8" s="28" t="s">
        <v>40</v>
      </c>
      <c r="E8" s="28" t="s">
        <v>41</v>
      </c>
      <c r="F8" s="29" t="s">
        <v>42</v>
      </c>
      <c r="G8" s="29">
        <v>3</v>
      </c>
      <c r="H8" s="30" t="str">
        <f>CHOOSE(IF(MOD(MATCH(F8,{"א","ב","ג","ד","ה","ו","ש"},0)-G8-1,7)+1&gt;=6,5,MOD(MATCH(F8,{"א","ב","ג","ד","ה","ו","ש"},0)-G8-1,7)+1),"א","ב","ג","ד","ה","ו","ש")</f>
        <v>ה</v>
      </c>
      <c r="I8" s="36"/>
      <c r="J8" s="48" t="s">
        <v>25</v>
      </c>
      <c r="K8" s="48" t="s">
        <v>25</v>
      </c>
      <c r="L8" s="47"/>
      <c r="M8" s="48" t="s">
        <v>25</v>
      </c>
      <c r="N8" s="54"/>
    </row>
    <row r="9" spans="1:14" x14ac:dyDescent="0.25">
      <c r="A9" s="32">
        <v>37</v>
      </c>
      <c r="B9" s="41" t="s">
        <v>43</v>
      </c>
      <c r="C9" s="55" t="s">
        <v>44</v>
      </c>
      <c r="D9" s="32" t="s">
        <v>45</v>
      </c>
      <c r="E9" s="32" t="s">
        <v>23</v>
      </c>
      <c r="F9" s="33" t="s">
        <v>24</v>
      </c>
      <c r="G9" s="33">
        <v>4</v>
      </c>
      <c r="H9" s="34" t="str">
        <f>CHOOSE(IF(MOD(MATCH(F9,{"א","ב","ג","ד","ה","ו","ש"},0)-G9-1,7)+1&gt;=6,5,MOD(MATCH(F9,{"א","ב","ג","ד","ה","ו","ש"},0)-G9-1,7)+1),"א","ב","ג","ד","ה","ו","ש")</f>
        <v>ה</v>
      </c>
      <c r="I9" s="36"/>
      <c r="J9" s="48" t="s">
        <v>25</v>
      </c>
      <c r="K9" s="48" t="s">
        <v>25</v>
      </c>
      <c r="L9" s="47"/>
      <c r="M9" s="48" t="s">
        <v>25</v>
      </c>
      <c r="N9" s="54"/>
    </row>
    <row r="10" spans="1:14" s="16" customFormat="1" x14ac:dyDescent="0.25">
      <c r="A10" s="32">
        <v>48</v>
      </c>
      <c r="B10" s="41" t="s">
        <v>46</v>
      </c>
      <c r="C10" s="55" t="s">
        <v>47</v>
      </c>
      <c r="D10" s="32" t="s">
        <v>48</v>
      </c>
      <c r="E10" s="32" t="s">
        <v>23</v>
      </c>
      <c r="F10" s="33" t="s">
        <v>24</v>
      </c>
      <c r="G10" s="33">
        <v>4</v>
      </c>
      <c r="H10" s="34" t="str">
        <f>CHOOSE(IF(MOD(MATCH(F10,{"א","ב","ג","ד","ה","ו","ש"},0)-G10-1,7)+1&gt;=6,5,MOD(MATCH(F10,{"א","ב","ג","ד","ה","ו","ש"},0)-G10-1,7)+1),"א","ב","ג","ד","ה","ו","ש")</f>
        <v>ה</v>
      </c>
      <c r="I10" s="36"/>
      <c r="J10" s="48" t="s">
        <v>25</v>
      </c>
      <c r="K10" s="48" t="s">
        <v>25</v>
      </c>
      <c r="L10" s="47"/>
      <c r="M10" s="48" t="s">
        <v>25</v>
      </c>
      <c r="N10" s="54"/>
    </row>
    <row r="11" spans="1:14" s="16" customFormat="1" x14ac:dyDescent="0.25">
      <c r="A11" s="32">
        <v>34</v>
      </c>
      <c r="B11" s="41" t="s">
        <v>49</v>
      </c>
      <c r="C11" s="55" t="s">
        <v>50</v>
      </c>
      <c r="D11" s="32" t="s">
        <v>51</v>
      </c>
      <c r="E11" s="32" t="s">
        <v>23</v>
      </c>
      <c r="F11" s="33" t="s">
        <v>24</v>
      </c>
      <c r="G11" s="33">
        <v>4</v>
      </c>
      <c r="H11" s="34" t="str">
        <f>CHOOSE(IF(MOD(MATCH(F11,{"א","ב","ג","ד","ה","ו","ש"},0)-G11-1,7)+1&gt;=6,5,MOD(MATCH(F11,{"א","ב","ג","ד","ה","ו","ש"},0)-G11-1,7)+1),"א","ב","ג","ד","ה","ו","ש")</f>
        <v>ה</v>
      </c>
      <c r="I11" s="36"/>
      <c r="J11" s="48" t="s">
        <v>25</v>
      </c>
      <c r="K11" s="48" t="s">
        <v>25</v>
      </c>
      <c r="L11" s="47"/>
      <c r="M11" s="48" t="s">
        <v>25</v>
      </c>
      <c r="N11" s="54"/>
    </row>
    <row r="12" spans="1:14" s="16" customFormat="1" x14ac:dyDescent="0.25">
      <c r="A12" s="32">
        <v>9</v>
      </c>
      <c r="B12" s="41" t="s">
        <v>52</v>
      </c>
      <c r="C12" s="55" t="s">
        <v>53</v>
      </c>
      <c r="D12" s="32" t="s">
        <v>54</v>
      </c>
      <c r="E12" s="32" t="s">
        <v>23</v>
      </c>
      <c r="F12" s="33" t="s">
        <v>24</v>
      </c>
      <c r="G12" s="33">
        <v>4</v>
      </c>
      <c r="H12" s="34" t="str">
        <f>CHOOSE(IF(MOD(MATCH(F12,{"א","ב","ג","ד","ה","ו","ש"},0)-G12-1,7)+1&gt;=6,5,MOD(MATCH(F12,{"א","ב","ג","ד","ה","ו","ש"},0)-G12-1,7)+1),"א","ב","ג","ד","ה","ו","ש")</f>
        <v>ה</v>
      </c>
      <c r="I12" s="36"/>
      <c r="J12" s="48" t="s">
        <v>25</v>
      </c>
      <c r="K12" s="48" t="s">
        <v>25</v>
      </c>
      <c r="L12" s="47"/>
      <c r="M12" s="48" t="s">
        <v>25</v>
      </c>
      <c r="N12" s="54"/>
    </row>
    <row r="13" spans="1:14" s="16" customFormat="1" x14ac:dyDescent="0.25">
      <c r="A13" s="21">
        <v>33</v>
      </c>
      <c r="B13" s="40" t="s">
        <v>55</v>
      </c>
      <c r="C13" s="53" t="s">
        <v>15</v>
      </c>
      <c r="D13" s="21" t="s">
        <v>56</v>
      </c>
      <c r="E13" s="21" t="s">
        <v>17</v>
      </c>
      <c r="F13" s="22" t="s">
        <v>18</v>
      </c>
      <c r="G13" s="22">
        <v>2</v>
      </c>
      <c r="H13" s="23" t="str">
        <f>CHOOSE(IF(MOD(MATCH(F13,{"א","ב","ג","ד","ה","ו","ש"},0)-G13-1,7)+1&gt;=6,5,MOD(MATCH(F13,{"א","ב","ג","ד","ה","ו","ש"},0)-G13-1,7)+1),"א","ב","ג","ד","ה","ו","ש")</f>
        <v>ג</v>
      </c>
      <c r="I13" s="36"/>
      <c r="J13" s="48" t="s">
        <v>19</v>
      </c>
      <c r="K13" s="48" t="s">
        <v>19</v>
      </c>
      <c r="L13" s="47"/>
      <c r="M13" s="48" t="s">
        <v>19</v>
      </c>
      <c r="N13" s="54"/>
    </row>
    <row r="14" spans="1:14" s="16" customFormat="1" x14ac:dyDescent="0.25">
      <c r="A14" s="21">
        <v>61</v>
      </c>
      <c r="B14" s="40" t="s">
        <v>57</v>
      </c>
      <c r="C14" s="53" t="s">
        <v>58</v>
      </c>
      <c r="D14" s="21" t="s">
        <v>59</v>
      </c>
      <c r="E14" s="21" t="s">
        <v>17</v>
      </c>
      <c r="F14" s="22" t="s">
        <v>18</v>
      </c>
      <c r="G14" s="22">
        <v>2</v>
      </c>
      <c r="H14" s="23" t="str">
        <f>CHOOSE(IF(MOD(MATCH(F14,{"א","ב","ג","ד","ה","ו","ש"},0)-G14-1,7)+1&gt;=6,5,MOD(MATCH(F14,{"א","ב","ג","ד","ה","ו","ש"},0)-G14-1,7)+1),"א","ב","ג","ד","ה","ו","ש")</f>
        <v>ג</v>
      </c>
      <c r="I14" s="36"/>
      <c r="J14" s="48" t="s">
        <v>19</v>
      </c>
      <c r="K14" s="48" t="s">
        <v>19</v>
      </c>
      <c r="L14" s="47"/>
      <c r="M14" s="48" t="s">
        <v>19</v>
      </c>
      <c r="N14" s="54"/>
    </row>
    <row r="15" spans="1:14" s="16" customFormat="1" x14ac:dyDescent="0.25">
      <c r="A15" s="21">
        <v>12</v>
      </c>
      <c r="B15" s="40" t="s">
        <v>60</v>
      </c>
      <c r="C15" s="53" t="s">
        <v>33</v>
      </c>
      <c r="D15" s="21" t="s">
        <v>61</v>
      </c>
      <c r="E15" s="21" t="s">
        <v>17</v>
      </c>
      <c r="F15" s="22" t="s">
        <v>18</v>
      </c>
      <c r="G15" s="22">
        <v>2</v>
      </c>
      <c r="H15" s="23" t="str">
        <f>CHOOSE(IF(MOD(MATCH(F15,{"א","ב","ג","ד","ה","ו","ש"},0)-G15-1,7)+1&gt;=6,5,MOD(MATCH(F15,{"א","ב","ג","ד","ה","ו","ש"},0)-G15-1,7)+1),"א","ב","ג","ד","ה","ו","ש")</f>
        <v>ג</v>
      </c>
      <c r="I15" s="36"/>
      <c r="J15" s="48" t="s">
        <v>19</v>
      </c>
      <c r="K15" s="48" t="s">
        <v>19</v>
      </c>
      <c r="L15" s="47"/>
      <c r="M15" s="48" t="s">
        <v>19</v>
      </c>
      <c r="N15" s="54"/>
    </row>
    <row r="16" spans="1:14" s="16" customFormat="1" x14ac:dyDescent="0.25">
      <c r="A16" s="21">
        <v>65</v>
      </c>
      <c r="B16" s="40" t="s">
        <v>62</v>
      </c>
      <c r="C16" s="53" t="s">
        <v>63</v>
      </c>
      <c r="D16" s="21" t="s">
        <v>64</v>
      </c>
      <c r="E16" s="21" t="s">
        <v>17</v>
      </c>
      <c r="F16" s="22" t="s">
        <v>18</v>
      </c>
      <c r="G16" s="22">
        <v>2</v>
      </c>
      <c r="H16" s="23" t="str">
        <f>CHOOSE(IF(MOD(MATCH(F16,{"א","ב","ג","ד","ה","ו","ש"},0)-G16-1,7)+1&gt;=6,5,MOD(MATCH(F16,{"א","ב","ג","ד","ה","ו","ש"},0)-G16-1,7)+1),"א","ב","ג","ד","ה","ו","ש")</f>
        <v>ג</v>
      </c>
      <c r="I16" s="36"/>
      <c r="J16" s="48" t="s">
        <v>19</v>
      </c>
      <c r="K16" s="48" t="s">
        <v>19</v>
      </c>
      <c r="L16" s="47"/>
      <c r="M16" s="48" t="s">
        <v>19</v>
      </c>
      <c r="N16" s="54"/>
    </row>
    <row r="17" spans="1:14" s="16" customFormat="1" x14ac:dyDescent="0.25">
      <c r="A17" s="32">
        <v>81</v>
      </c>
      <c r="B17" s="41" t="s">
        <v>65</v>
      </c>
      <c r="C17" s="55" t="s">
        <v>66</v>
      </c>
      <c r="D17" s="32" t="s">
        <v>67</v>
      </c>
      <c r="E17" s="32" t="s">
        <v>23</v>
      </c>
      <c r="F17" s="33" t="s">
        <v>24</v>
      </c>
      <c r="G17" s="33">
        <v>4</v>
      </c>
      <c r="H17" s="34" t="str">
        <f>CHOOSE(IF(MOD(MATCH(F17,{"א","ב","ג","ד","ה","ו","ש"},0)-G17-1,7)+1&gt;=6,5,MOD(MATCH(F17,{"א","ב","ג","ד","ה","ו","ש"},0)-G17-1,7)+1),"א","ב","ג","ד","ה","ו","ש")</f>
        <v>ה</v>
      </c>
      <c r="I17" s="36"/>
      <c r="J17" s="48" t="s">
        <v>25</v>
      </c>
      <c r="K17" s="48" t="s">
        <v>25</v>
      </c>
      <c r="L17" s="47"/>
      <c r="M17" s="48" t="s">
        <v>25</v>
      </c>
      <c r="N17" s="54"/>
    </row>
    <row r="18" spans="1:14" s="16" customFormat="1" x14ac:dyDescent="0.25">
      <c r="A18" s="25">
        <v>2000050</v>
      </c>
      <c r="B18" s="43" t="s">
        <v>68</v>
      </c>
      <c r="C18" s="58" t="s">
        <v>69</v>
      </c>
      <c r="D18" s="25" t="s">
        <v>70</v>
      </c>
      <c r="E18" s="25" t="s">
        <v>71</v>
      </c>
      <c r="F18" s="26" t="s">
        <v>72</v>
      </c>
      <c r="G18" s="26">
        <v>2</v>
      </c>
      <c r="H18" s="27" t="str">
        <f>CHOOSE(IF(MOD(MATCH(F18,{"א","ב","ג","ד","ה","ו","ש"},0)-G18-1,7)+1&gt;=6,5,MOD(MATCH(F18,{"א","ב","ג","ד","ה","ו","ש"},0)-G18-1,7)+1),"א","ב","ג","ד","ה","ו","ש")</f>
        <v>א</v>
      </c>
      <c r="I18" s="36"/>
      <c r="J18" s="48" t="s">
        <v>73</v>
      </c>
      <c r="K18" s="48" t="s">
        <v>73</v>
      </c>
      <c r="L18" s="47"/>
      <c r="M18" s="48" t="s">
        <v>73</v>
      </c>
      <c r="N18" s="54"/>
    </row>
    <row r="19" spans="1:14" s="16" customFormat="1" x14ac:dyDescent="0.25">
      <c r="A19" s="32">
        <v>74</v>
      </c>
      <c r="B19" s="41" t="s">
        <v>74</v>
      </c>
      <c r="C19" s="55" t="s">
        <v>75</v>
      </c>
      <c r="D19" s="32" t="s">
        <v>76</v>
      </c>
      <c r="E19" s="32" t="s">
        <v>23</v>
      </c>
      <c r="F19" s="33" t="s">
        <v>24</v>
      </c>
      <c r="G19" s="33">
        <v>4</v>
      </c>
      <c r="H19" s="34" t="str">
        <f>CHOOSE(IF(MOD(MATCH(F19,{"א","ב","ג","ד","ה","ו","ש"},0)-G19-1,7)+1&gt;=6,5,MOD(MATCH(F19,{"א","ב","ג","ד","ה","ו","ש"},0)-G19-1,7)+1),"א","ב","ג","ד","ה","ו","ש")</f>
        <v>ה</v>
      </c>
      <c r="I19" s="36"/>
      <c r="J19" s="48" t="s">
        <v>25</v>
      </c>
      <c r="K19" s="48" t="s">
        <v>25</v>
      </c>
      <c r="L19" s="47"/>
      <c r="M19" s="48" t="s">
        <v>25</v>
      </c>
      <c r="N19" s="54"/>
    </row>
    <row r="20" spans="1:14" s="16" customFormat="1" x14ac:dyDescent="0.25">
      <c r="A20" s="28">
        <v>87</v>
      </c>
      <c r="B20" s="42" t="s">
        <v>77</v>
      </c>
      <c r="C20" s="57" t="s">
        <v>78</v>
      </c>
      <c r="D20" s="28" t="s">
        <v>79</v>
      </c>
      <c r="E20" s="28" t="s">
        <v>41</v>
      </c>
      <c r="F20" s="29" t="s">
        <v>42</v>
      </c>
      <c r="G20" s="29">
        <v>3</v>
      </c>
      <c r="H20" s="30" t="str">
        <f>CHOOSE(IF(MOD(MATCH(F20,{"א","ב","ג","ד","ה","ו","ש"},0)-G20-1,7)+1&gt;=6,5,MOD(MATCH(F20,{"א","ב","ג","ד","ה","ו","ש"},0)-G20-1,7)+1),"א","ב","ג","ד","ה","ו","ש")</f>
        <v>ה</v>
      </c>
      <c r="I20" s="36"/>
      <c r="J20" s="48" t="s">
        <v>25</v>
      </c>
      <c r="K20" s="48" t="s">
        <v>25</v>
      </c>
      <c r="L20" s="47"/>
      <c r="M20" s="48" t="s">
        <v>25</v>
      </c>
      <c r="N20" s="54"/>
    </row>
    <row r="21" spans="1:14" s="16" customFormat="1" x14ac:dyDescent="0.25">
      <c r="A21" s="32">
        <v>71</v>
      </c>
      <c r="B21" s="41" t="s">
        <v>80</v>
      </c>
      <c r="C21" s="55" t="s">
        <v>81</v>
      </c>
      <c r="D21" s="32" t="s">
        <v>82</v>
      </c>
      <c r="E21" s="32" t="s">
        <v>23</v>
      </c>
      <c r="F21" s="33" t="s">
        <v>24</v>
      </c>
      <c r="G21" s="33">
        <v>4</v>
      </c>
      <c r="H21" s="34" t="str">
        <f>CHOOSE(IF(MOD(MATCH(F21,{"א","ב","ג","ד","ה","ו","ש"},0)-G21-1,7)+1&gt;=6,5,MOD(MATCH(F21,{"א","ב","ג","ד","ה","ו","ש"},0)-G21-1,7)+1),"א","ב","ג","ד","ה","ו","ש")</f>
        <v>ה</v>
      </c>
      <c r="I21" s="36"/>
      <c r="J21" s="48" t="s">
        <v>25</v>
      </c>
      <c r="K21" s="48" t="s">
        <v>25</v>
      </c>
      <c r="L21" s="47"/>
      <c r="M21" s="48" t="s">
        <v>25</v>
      </c>
      <c r="N21" s="54"/>
    </row>
    <row r="22" spans="1:14" s="16" customFormat="1" x14ac:dyDescent="0.25">
      <c r="A22" s="21">
        <v>64</v>
      </c>
      <c r="B22" s="40" t="s">
        <v>83</v>
      </c>
      <c r="C22" s="53" t="s">
        <v>84</v>
      </c>
      <c r="D22" s="21" t="s">
        <v>85</v>
      </c>
      <c r="E22" s="21" t="s">
        <v>17</v>
      </c>
      <c r="F22" s="22" t="s">
        <v>18</v>
      </c>
      <c r="G22" s="22">
        <v>2</v>
      </c>
      <c r="H22" s="23" t="str">
        <f>CHOOSE(IF(MOD(MATCH(F22,{"א","ב","ג","ד","ה","ו","ש"},0)-G22-1,7)+1&gt;=6,5,MOD(MATCH(F22,{"א","ב","ג","ד","ה","ו","ש"},0)-G22-1,7)+1),"א","ב","ג","ד","ה","ו","ש")</f>
        <v>ג</v>
      </c>
      <c r="I22" s="36"/>
      <c r="J22" s="48" t="s">
        <v>19</v>
      </c>
      <c r="K22" s="48" t="s">
        <v>19</v>
      </c>
      <c r="L22" s="47"/>
      <c r="M22" s="48" t="s">
        <v>19</v>
      </c>
      <c r="N22" s="54"/>
    </row>
    <row r="23" spans="1:14" s="16" customFormat="1" x14ac:dyDescent="0.25">
      <c r="A23" s="32">
        <v>19</v>
      </c>
      <c r="B23" s="41" t="s">
        <v>86</v>
      </c>
      <c r="C23" s="55" t="s">
        <v>87</v>
      </c>
      <c r="D23" s="32" t="s">
        <v>88</v>
      </c>
      <c r="E23" s="32" t="s">
        <v>23</v>
      </c>
      <c r="F23" s="33" t="s">
        <v>24</v>
      </c>
      <c r="G23" s="33">
        <v>4</v>
      </c>
      <c r="H23" s="34" t="str">
        <f>CHOOSE(IF(MOD(MATCH(F23,{"א","ב","ג","ד","ה","ו","ש"},0)-G23-1,7)+1&gt;=6,5,MOD(MATCH(F23,{"א","ב","ג","ד","ה","ו","ש"},0)-G23-1,7)+1),"א","ב","ג","ד","ה","ו","ש")</f>
        <v>ה</v>
      </c>
      <c r="I23" s="36"/>
      <c r="J23" s="48" t="s">
        <v>73</v>
      </c>
      <c r="K23" s="48" t="s">
        <v>73</v>
      </c>
      <c r="L23" s="47"/>
      <c r="M23" s="48" t="s">
        <v>73</v>
      </c>
      <c r="N23" s="54"/>
    </row>
    <row r="24" spans="1:14" s="16" customFormat="1" x14ac:dyDescent="0.25">
      <c r="A24" s="28">
        <v>66</v>
      </c>
      <c r="B24" s="42" t="s">
        <v>89</v>
      </c>
      <c r="C24" s="57" t="s">
        <v>39</v>
      </c>
      <c r="D24" s="28" t="s">
        <v>90</v>
      </c>
      <c r="E24" s="28" t="s">
        <v>41</v>
      </c>
      <c r="F24" s="29" t="s">
        <v>42</v>
      </c>
      <c r="G24" s="29">
        <v>3</v>
      </c>
      <c r="H24" s="30" t="str">
        <f>CHOOSE(IF(MOD(MATCH(F24,{"א","ב","ג","ד","ה","ו","ש"},0)-G24-1,7)+1&gt;=6,5,MOD(MATCH(F24,{"א","ב","ג","ד","ה","ו","ש"},0)-G24-1,7)+1),"א","ב","ג","ד","ה","ו","ש")</f>
        <v>ה</v>
      </c>
      <c r="I24" s="36"/>
      <c r="J24" s="48" t="s">
        <v>25</v>
      </c>
      <c r="K24" s="48" t="s">
        <v>25</v>
      </c>
      <c r="L24" s="47"/>
      <c r="M24" s="48" t="s">
        <v>25</v>
      </c>
      <c r="N24" s="54"/>
    </row>
    <row r="25" spans="1:14" s="16" customFormat="1" x14ac:dyDescent="0.25">
      <c r="A25" s="32">
        <v>82</v>
      </c>
      <c r="B25" s="41" t="s">
        <v>91</v>
      </c>
      <c r="C25" s="55" t="s">
        <v>92</v>
      </c>
      <c r="D25" s="32" t="s">
        <v>93</v>
      </c>
      <c r="E25" s="32" t="s">
        <v>23</v>
      </c>
      <c r="F25" s="33" t="s">
        <v>24</v>
      </c>
      <c r="G25" s="33">
        <v>4</v>
      </c>
      <c r="H25" s="34" t="str">
        <f>CHOOSE(IF(MOD(MATCH(F25,{"א","ב","ג","ד","ה","ו","ש"},0)-G25-1,7)+1&gt;=6,5,MOD(MATCH(F25,{"א","ב","ג","ד","ה","ו","ש"},0)-G25-1,7)+1),"א","ב","ג","ד","ה","ו","ש")</f>
        <v>ה</v>
      </c>
      <c r="I25" s="36"/>
      <c r="J25" s="48" t="s">
        <v>73</v>
      </c>
      <c r="K25" s="48" t="s">
        <v>73</v>
      </c>
      <c r="L25" s="47"/>
      <c r="M25" s="48" t="s">
        <v>73</v>
      </c>
      <c r="N25" s="54"/>
    </row>
    <row r="26" spans="1:14" s="16" customFormat="1" x14ac:dyDescent="0.25">
      <c r="A26" s="32">
        <v>52</v>
      </c>
      <c r="B26" s="41" t="s">
        <v>94</v>
      </c>
      <c r="C26" s="55" t="s">
        <v>53</v>
      </c>
      <c r="D26" s="32" t="s">
        <v>95</v>
      </c>
      <c r="E26" s="32" t="s">
        <v>23</v>
      </c>
      <c r="F26" s="33" t="s">
        <v>24</v>
      </c>
      <c r="G26" s="33">
        <v>4</v>
      </c>
      <c r="H26" s="34" t="str">
        <f>CHOOSE(IF(MOD(MATCH(F26,{"א","ב","ג","ד","ה","ו","ש"},0)-G26-1,7)+1&gt;=6,5,MOD(MATCH(F26,{"א","ב","ג","ד","ה","ו","ש"},0)-G26-1,7)+1),"א","ב","ג","ד","ה","ו","ש")</f>
        <v>ה</v>
      </c>
      <c r="I26" s="36"/>
      <c r="J26" s="48" t="s">
        <v>73</v>
      </c>
      <c r="K26" s="48" t="s">
        <v>73</v>
      </c>
      <c r="L26" s="47"/>
      <c r="M26" s="48" t="s">
        <v>73</v>
      </c>
      <c r="N26" s="54"/>
    </row>
    <row r="27" spans="1:14" s="16" customFormat="1" x14ac:dyDescent="0.25">
      <c r="A27" s="21">
        <v>59</v>
      </c>
      <c r="B27" s="40" t="s">
        <v>96</v>
      </c>
      <c r="C27" s="53" t="s">
        <v>97</v>
      </c>
      <c r="D27" s="21" t="s">
        <v>98</v>
      </c>
      <c r="E27" s="21" t="s">
        <v>17</v>
      </c>
      <c r="F27" s="22" t="s">
        <v>18</v>
      </c>
      <c r="G27" s="22">
        <v>2</v>
      </c>
      <c r="H27" s="23" t="str">
        <f>CHOOSE(IF(MOD(MATCH(F27,{"א","ב","ג","ד","ה","ו","ש"},0)-G27-1,7)+1&gt;=6,5,MOD(MATCH(F27,{"א","ב","ג","ד","ה","ו","ש"},0)-G27-1,7)+1),"א","ב","ג","ד","ה","ו","ש")</f>
        <v>ג</v>
      </c>
      <c r="I27" s="36"/>
      <c r="J27" s="48" t="s">
        <v>19</v>
      </c>
      <c r="K27" s="48" t="s">
        <v>19</v>
      </c>
      <c r="L27" s="47"/>
      <c r="M27" s="48" t="s">
        <v>19</v>
      </c>
      <c r="N27" s="54"/>
    </row>
    <row r="28" spans="1:14" s="16" customFormat="1" x14ac:dyDescent="0.25">
      <c r="A28" s="32">
        <v>73</v>
      </c>
      <c r="B28" s="41" t="s">
        <v>99</v>
      </c>
      <c r="C28" s="55" t="s">
        <v>50</v>
      </c>
      <c r="D28" s="32" t="s">
        <v>100</v>
      </c>
      <c r="E28" s="32" t="s">
        <v>23</v>
      </c>
      <c r="F28" s="33" t="s">
        <v>24</v>
      </c>
      <c r="G28" s="33">
        <v>4</v>
      </c>
      <c r="H28" s="34" t="str">
        <f>CHOOSE(IF(MOD(MATCH(F28,{"א","ב","ג","ד","ה","ו","ש"},0)-G28-1,7)+1&gt;=6,5,MOD(MATCH(F28,{"א","ב","ג","ד","ה","ו","ש"},0)-G28-1,7)+1),"א","ב","ג","ד","ה","ו","ש")</f>
        <v>ה</v>
      </c>
      <c r="I28" s="36"/>
      <c r="J28" s="48" t="s">
        <v>73</v>
      </c>
      <c r="K28" s="48" t="s">
        <v>73</v>
      </c>
      <c r="L28" s="47"/>
      <c r="M28" s="48" t="s">
        <v>73</v>
      </c>
      <c r="N28" s="54"/>
    </row>
    <row r="29" spans="1:14" s="16" customFormat="1" x14ac:dyDescent="0.25">
      <c r="A29" s="32">
        <v>96</v>
      </c>
      <c r="B29" s="41" t="s">
        <v>101</v>
      </c>
      <c r="C29" s="55" t="s">
        <v>102</v>
      </c>
      <c r="D29" s="32" t="s">
        <v>103</v>
      </c>
      <c r="E29" s="32" t="s">
        <v>23</v>
      </c>
      <c r="F29" s="33" t="s">
        <v>24</v>
      </c>
      <c r="G29" s="33">
        <v>4</v>
      </c>
      <c r="H29" s="34" t="str">
        <f>CHOOSE(IF(MOD(MATCH(F29,{"א","ב","ג","ד","ה","ו","ש"},0)-G29-1,7)+1&gt;=6,5,MOD(MATCH(F29,{"א","ב","ג","ד","ה","ו","ש"},0)-G29-1,7)+1),"א","ב","ג","ד","ה","ו","ש")</f>
        <v>ה</v>
      </c>
      <c r="I29" s="36"/>
      <c r="J29" s="48" t="s">
        <v>73</v>
      </c>
      <c r="K29" s="48" t="s">
        <v>73</v>
      </c>
      <c r="L29" s="47"/>
      <c r="M29" s="48" t="s">
        <v>73</v>
      </c>
      <c r="N29" s="54"/>
    </row>
    <row r="30" spans="1:14" s="16" customFormat="1" x14ac:dyDescent="0.25">
      <c r="A30" s="21">
        <v>80</v>
      </c>
      <c r="B30" s="40" t="s">
        <v>104</v>
      </c>
      <c r="C30" s="53" t="s">
        <v>105</v>
      </c>
      <c r="D30" s="21" t="s">
        <v>105</v>
      </c>
      <c r="E30" s="21" t="s">
        <v>17</v>
      </c>
      <c r="F30" s="22" t="s">
        <v>18</v>
      </c>
      <c r="G30" s="22">
        <v>2</v>
      </c>
      <c r="H30" s="23" t="str">
        <f>CHOOSE(IF(MOD(MATCH(F30,{"א","ב","ג","ד","ה","ו","ש"},0)-G30-1,7)+1&gt;=6,5,MOD(MATCH(F30,{"א","ב","ג","ד","ה","ו","ש"},0)-G30-1,7)+1),"א","ב","ג","ד","ה","ו","ש")</f>
        <v>ג</v>
      </c>
      <c r="I30" s="36"/>
      <c r="J30" s="48" t="s">
        <v>19</v>
      </c>
      <c r="K30" s="48" t="s">
        <v>19</v>
      </c>
      <c r="L30" s="47"/>
      <c r="M30" s="48" t="s">
        <v>19</v>
      </c>
      <c r="N30" s="54"/>
    </row>
    <row r="31" spans="1:14" s="16" customFormat="1" x14ac:dyDescent="0.25">
      <c r="A31" s="25">
        <v>63</v>
      </c>
      <c r="B31" s="43" t="s">
        <v>106</v>
      </c>
      <c r="C31" s="58" t="s">
        <v>107</v>
      </c>
      <c r="D31" s="25" t="s">
        <v>108</v>
      </c>
      <c r="E31" s="25" t="s">
        <v>71</v>
      </c>
      <c r="F31" s="26" t="s">
        <v>72</v>
      </c>
      <c r="G31" s="26">
        <v>2</v>
      </c>
      <c r="H31" s="27" t="str">
        <f>CHOOSE(IF(MOD(MATCH(F31,{"א","ב","ג","ד","ה","ו","ש"},0)-G31-1,7)+1&gt;=6,5,MOD(MATCH(F31,{"א","ב","ג","ד","ה","ו","ש"},0)-G31-1,7)+1),"א","ב","ג","ד","ה","ו","ש")</f>
        <v>א</v>
      </c>
      <c r="I31" s="36"/>
      <c r="J31" s="48" t="s">
        <v>73</v>
      </c>
      <c r="K31" s="48" t="s">
        <v>73</v>
      </c>
      <c r="L31" s="47"/>
      <c r="M31" s="48" t="s">
        <v>73</v>
      </c>
      <c r="N31" s="54"/>
    </row>
    <row r="32" spans="1:14" s="16" customFormat="1" x14ac:dyDescent="0.25">
      <c r="A32" s="32">
        <v>23</v>
      </c>
      <c r="B32" s="41" t="s">
        <v>109</v>
      </c>
      <c r="C32" s="55" t="s">
        <v>27</v>
      </c>
      <c r="D32" s="32" t="s">
        <v>110</v>
      </c>
      <c r="E32" s="32" t="s">
        <v>23</v>
      </c>
      <c r="F32" s="33" t="s">
        <v>24</v>
      </c>
      <c r="G32" s="33">
        <v>4</v>
      </c>
      <c r="H32" s="34" t="str">
        <f>CHOOSE(IF(MOD(MATCH(F32,{"א","ב","ג","ד","ה","ו","ש"},0)-G32-1,7)+1&gt;=6,5,MOD(MATCH(F32,{"א","ב","ג","ד","ה","ו","ש"},0)-G32-1,7)+1),"א","ב","ג","ד","ה","ו","ש")</f>
        <v>ה</v>
      </c>
      <c r="I32" s="36"/>
      <c r="J32" s="48" t="s">
        <v>73</v>
      </c>
      <c r="K32" s="48" t="s">
        <v>73</v>
      </c>
      <c r="L32" s="47"/>
      <c r="M32" s="48" t="s">
        <v>73</v>
      </c>
      <c r="N32" s="54"/>
    </row>
    <row r="33" spans="1:14" s="16" customFormat="1" x14ac:dyDescent="0.25">
      <c r="A33" s="32">
        <v>17</v>
      </c>
      <c r="B33" s="41" t="s">
        <v>111</v>
      </c>
      <c r="C33" s="55" t="s">
        <v>27</v>
      </c>
      <c r="D33" s="32" t="s">
        <v>112</v>
      </c>
      <c r="E33" s="32" t="s">
        <v>23</v>
      </c>
      <c r="F33" s="33" t="s">
        <v>24</v>
      </c>
      <c r="G33" s="33">
        <v>4</v>
      </c>
      <c r="H33" s="34" t="str">
        <f>CHOOSE(IF(MOD(MATCH(F33,{"א","ב","ג","ד","ה","ו","ש"},0)-G33-1,7)+1&gt;=6,5,MOD(MATCH(F33,{"א","ב","ג","ד","ה","ו","ש"},0)-G33-1,7)+1),"א","ב","ג","ד","ה","ו","ש")</f>
        <v>ה</v>
      </c>
      <c r="I33" s="36"/>
      <c r="J33" s="48" t="s">
        <v>73</v>
      </c>
      <c r="K33" s="48" t="s">
        <v>73</v>
      </c>
      <c r="L33" s="47"/>
      <c r="M33" s="48" t="s">
        <v>73</v>
      </c>
      <c r="N33" s="54"/>
    </row>
    <row r="34" spans="1:14" s="16" customFormat="1" x14ac:dyDescent="0.25">
      <c r="A34" s="21">
        <v>88</v>
      </c>
      <c r="B34" s="40" t="s">
        <v>113</v>
      </c>
      <c r="C34" s="53" t="s">
        <v>114</v>
      </c>
      <c r="D34" s="21" t="s">
        <v>115</v>
      </c>
      <c r="E34" s="21" t="s">
        <v>17</v>
      </c>
      <c r="F34" s="22" t="s">
        <v>18</v>
      </c>
      <c r="G34" s="22">
        <v>2</v>
      </c>
      <c r="H34" s="23" t="str">
        <f>CHOOSE(IF(MOD(MATCH(F34,{"א","ב","ג","ד","ה","ו","ש"},0)-G34-1,7)+1&gt;=6,5,MOD(MATCH(F34,{"א","ב","ג","ד","ה","ו","ש"},0)-G34-1,7)+1),"א","ב","ג","ד","ה","ו","ש")</f>
        <v>ג</v>
      </c>
      <c r="I34" s="36"/>
      <c r="J34" s="48" t="s">
        <v>19</v>
      </c>
      <c r="K34" s="48" t="s">
        <v>19</v>
      </c>
      <c r="L34" s="47"/>
      <c r="M34" s="48" t="s">
        <v>19</v>
      </c>
      <c r="N34" s="54"/>
    </row>
    <row r="35" spans="1:14" s="16" customFormat="1" x14ac:dyDescent="0.25">
      <c r="A35" s="32">
        <v>75</v>
      </c>
      <c r="B35" s="41" t="s">
        <v>116</v>
      </c>
      <c r="C35" s="55" t="s">
        <v>117</v>
      </c>
      <c r="D35" s="32" t="s">
        <v>118</v>
      </c>
      <c r="E35" s="32" t="s">
        <v>23</v>
      </c>
      <c r="F35" s="33" t="s">
        <v>24</v>
      </c>
      <c r="G35" s="33">
        <v>4</v>
      </c>
      <c r="H35" s="34" t="str">
        <f>CHOOSE(IF(MOD(MATCH(F35,{"א","ב","ג","ד","ה","ו","ש"},0)-G35-1,7)+1&gt;=6,5,MOD(MATCH(F35,{"א","ב","ג","ד","ה","ו","ש"},0)-G35-1,7)+1),"א","ב","ג","ד","ה","ו","ש")</f>
        <v>ה</v>
      </c>
      <c r="I35" s="36"/>
      <c r="J35" s="48" t="s">
        <v>73</v>
      </c>
      <c r="K35" s="48" t="s">
        <v>73</v>
      </c>
      <c r="L35" s="47"/>
      <c r="M35" s="48" t="s">
        <v>73</v>
      </c>
      <c r="N35" s="54"/>
    </row>
    <row r="36" spans="1:14" s="16" customFormat="1" x14ac:dyDescent="0.25">
      <c r="A36" s="18">
        <v>4</v>
      </c>
      <c r="B36" s="44" t="s">
        <v>119</v>
      </c>
      <c r="C36" s="59" t="s">
        <v>120</v>
      </c>
      <c r="D36" s="18" t="s">
        <v>121</v>
      </c>
      <c r="E36" s="18" t="s">
        <v>120</v>
      </c>
      <c r="F36" s="19" t="s">
        <v>24</v>
      </c>
      <c r="G36" s="19">
        <v>4</v>
      </c>
      <c r="H36" s="20" t="str">
        <f>CHOOSE(IF(MOD(MATCH(F36,{"א","ב","ג","ד","ה","ו","ש"},0)-G36-1,7)+1&gt;=6,5,MOD(MATCH(F36,{"א","ב","ג","ד","ה","ו","ש"},0)-G36-1,7)+1),"א","ב","ג","ד","ה","ו","ש")</f>
        <v>ה</v>
      </c>
      <c r="I36" s="36"/>
      <c r="J36" s="48" t="s">
        <v>73</v>
      </c>
      <c r="K36" s="48" t="s">
        <v>73</v>
      </c>
      <c r="L36" s="47"/>
      <c r="M36" s="48" t="s">
        <v>73</v>
      </c>
      <c r="N36" s="54"/>
    </row>
    <row r="37" spans="1:14" s="16" customFormat="1" x14ac:dyDescent="0.25">
      <c r="A37" s="32">
        <v>14</v>
      </c>
      <c r="B37" s="41" t="s">
        <v>122</v>
      </c>
      <c r="C37" s="55" t="s">
        <v>123</v>
      </c>
      <c r="D37" s="32" t="s">
        <v>124</v>
      </c>
      <c r="E37" s="32" t="s">
        <v>23</v>
      </c>
      <c r="F37" s="33" t="s">
        <v>24</v>
      </c>
      <c r="G37" s="33">
        <v>4</v>
      </c>
      <c r="H37" s="34" t="str">
        <f>CHOOSE(IF(MOD(MATCH(F37,{"א","ב","ג","ד","ה","ו","ש"},0)-G37-1,7)+1&gt;=6,5,MOD(MATCH(F37,{"א","ב","ג","ד","ה","ו","ש"},0)-G37-1,7)+1),"א","ב","ג","ד","ה","ו","ש")</f>
        <v>ה</v>
      </c>
      <c r="I37" s="36"/>
      <c r="J37" s="48" t="s">
        <v>125</v>
      </c>
      <c r="K37" s="48" t="s">
        <v>125</v>
      </c>
      <c r="L37" s="47"/>
      <c r="M37" s="48" t="s">
        <v>125</v>
      </c>
      <c r="N37" s="54"/>
    </row>
    <row r="38" spans="1:14" s="16" customFormat="1" x14ac:dyDescent="0.25">
      <c r="A38" s="32">
        <v>16</v>
      </c>
      <c r="B38" s="41" t="s">
        <v>126</v>
      </c>
      <c r="C38" s="55" t="s">
        <v>123</v>
      </c>
      <c r="D38" s="32" t="s">
        <v>127</v>
      </c>
      <c r="E38" s="32" t="s">
        <v>23</v>
      </c>
      <c r="F38" s="33" t="s">
        <v>24</v>
      </c>
      <c r="G38" s="33">
        <v>4</v>
      </c>
      <c r="H38" s="34" t="str">
        <f>CHOOSE(IF(MOD(MATCH(F38,{"א","ב","ג","ד","ה","ו","ש"},0)-G38-1,7)+1&gt;=6,5,MOD(MATCH(F38,{"א","ב","ג","ד","ה","ו","ש"},0)-G38-1,7)+1),"א","ב","ג","ד","ה","ו","ש")</f>
        <v>ה</v>
      </c>
      <c r="I38" s="36"/>
      <c r="J38" s="48" t="s">
        <v>125</v>
      </c>
      <c r="K38" s="48" t="s">
        <v>125</v>
      </c>
      <c r="L38" s="47"/>
      <c r="M38" s="48" t="s">
        <v>125</v>
      </c>
      <c r="N38" s="54"/>
    </row>
    <row r="39" spans="1:14" s="16" customFormat="1" x14ac:dyDescent="0.25">
      <c r="A39" s="32">
        <v>27</v>
      </c>
      <c r="B39" s="41" t="s">
        <v>128</v>
      </c>
      <c r="C39" s="55" t="s">
        <v>129</v>
      </c>
      <c r="D39" s="32" t="s">
        <v>130</v>
      </c>
      <c r="E39" s="32" t="s">
        <v>23</v>
      </c>
      <c r="F39" s="33" t="s">
        <v>24</v>
      </c>
      <c r="G39" s="33">
        <v>4</v>
      </c>
      <c r="H39" s="34" t="str">
        <f>CHOOSE(IF(MOD(MATCH(F39,{"א","ב","ג","ד","ה","ו","ש"},0)-G39-1,7)+1&gt;=6,5,MOD(MATCH(F39,{"א","ב","ג","ד","ה","ו","ש"},0)-G39-1,7)+1),"א","ב","ג","ד","ה","ו","ש")</f>
        <v>ה</v>
      </c>
      <c r="I39" s="36"/>
      <c r="J39" s="48" t="s">
        <v>125</v>
      </c>
      <c r="K39" s="48" t="s">
        <v>125</v>
      </c>
      <c r="L39" s="47"/>
      <c r="M39" s="48" t="s">
        <v>125</v>
      </c>
      <c r="N39" s="54"/>
    </row>
    <row r="40" spans="1:14" s="16" customFormat="1" x14ac:dyDescent="0.25">
      <c r="A40" s="32">
        <v>13</v>
      </c>
      <c r="B40" s="41" t="s">
        <v>131</v>
      </c>
      <c r="C40" s="55" t="s">
        <v>53</v>
      </c>
      <c r="D40" s="32" t="s">
        <v>132</v>
      </c>
      <c r="E40" s="32" t="s">
        <v>23</v>
      </c>
      <c r="F40" s="33" t="s">
        <v>24</v>
      </c>
      <c r="G40" s="33">
        <v>4</v>
      </c>
      <c r="H40" s="34" t="str">
        <f>CHOOSE(IF(MOD(MATCH(F40,{"א","ב","ג","ד","ה","ו","ש"},0)-G40-1,7)+1&gt;=6,5,MOD(MATCH(F40,{"א","ב","ג","ד","ה","ו","ש"},0)-G40-1,7)+1),"א","ב","ג","ד","ה","ו","ש")</f>
        <v>ה</v>
      </c>
      <c r="I40" s="36"/>
      <c r="J40" s="48" t="s">
        <v>125</v>
      </c>
      <c r="K40" s="48" t="s">
        <v>125</v>
      </c>
      <c r="L40" s="47"/>
      <c r="M40" s="48" t="s">
        <v>125</v>
      </c>
      <c r="N40" s="54"/>
    </row>
    <row r="41" spans="1:14" s="16" customFormat="1" x14ac:dyDescent="0.25">
      <c r="A41" s="25">
        <v>20</v>
      </c>
      <c r="B41" s="43" t="s">
        <v>133</v>
      </c>
      <c r="C41" s="58" t="s">
        <v>69</v>
      </c>
      <c r="D41" s="25" t="s">
        <v>134</v>
      </c>
      <c r="E41" s="25" t="s">
        <v>71</v>
      </c>
      <c r="F41" s="26" t="s">
        <v>72</v>
      </c>
      <c r="G41" s="26">
        <v>2</v>
      </c>
      <c r="H41" s="27" t="str">
        <f>CHOOSE(IF(MOD(MATCH(F41,{"א","ב","ג","ד","ה","ו","ש"},0)-G41-1,7)+1&gt;=6,5,MOD(MATCH(F41,{"א","ב","ג","ד","ה","ו","ש"},0)-G41-1,7)+1),"א","ב","ג","ד","ה","ו","ש")</f>
        <v>א</v>
      </c>
      <c r="I41" s="36"/>
      <c r="J41" s="48" t="s">
        <v>125</v>
      </c>
      <c r="K41" s="48" t="s">
        <v>125</v>
      </c>
      <c r="L41" s="47"/>
      <c r="M41" s="48" t="s">
        <v>125</v>
      </c>
      <c r="N41" s="54"/>
    </row>
    <row r="42" spans="1:14" s="16" customFormat="1" x14ac:dyDescent="0.25">
      <c r="A42" s="25">
        <v>8</v>
      </c>
      <c r="B42" s="43" t="s">
        <v>135</v>
      </c>
      <c r="C42" s="58" t="s">
        <v>136</v>
      </c>
      <c r="D42" s="25" t="s">
        <v>137</v>
      </c>
      <c r="E42" s="25" t="s">
        <v>71</v>
      </c>
      <c r="F42" s="26" t="s">
        <v>72</v>
      </c>
      <c r="G42" s="26">
        <v>2</v>
      </c>
      <c r="H42" s="27" t="str">
        <f>CHOOSE(IF(MOD(MATCH(F42,{"א","ב","ג","ד","ה","ו","ש"},0)-G42-1,7)+1&gt;=6,5,MOD(MATCH(F42,{"א","ב","ג","ד","ה","ו","ש"},0)-G42-1,7)+1),"א","ב","ג","ד","ה","ו","ש")</f>
        <v>א</v>
      </c>
      <c r="I42" s="36"/>
      <c r="J42" s="48" t="s">
        <v>125</v>
      </c>
      <c r="K42" s="48" t="s">
        <v>125</v>
      </c>
      <c r="L42" s="47"/>
      <c r="M42" s="48" t="s">
        <v>125</v>
      </c>
      <c r="N42" s="54"/>
    </row>
    <row r="43" spans="1:14" s="16" customFormat="1" x14ac:dyDescent="0.25">
      <c r="A43" s="32">
        <v>25</v>
      </c>
      <c r="B43" s="41" t="s">
        <v>138</v>
      </c>
      <c r="C43" s="55" t="s">
        <v>139</v>
      </c>
      <c r="D43" s="32" t="s">
        <v>139</v>
      </c>
      <c r="E43" s="32" t="s">
        <v>23</v>
      </c>
      <c r="F43" s="33" t="s">
        <v>24</v>
      </c>
      <c r="G43" s="33">
        <v>4</v>
      </c>
      <c r="H43" s="34" t="str">
        <f>CHOOSE(IF(MOD(MATCH(F43,{"א","ב","ג","ד","ה","ו","ש"},0)-G43-1,7)+1&gt;=6,5,MOD(MATCH(F43,{"א","ב","ג","ד","ה","ו","ש"},0)-G43-1,7)+1),"א","ב","ג","ד","ה","ו","ש")</f>
        <v>ה</v>
      </c>
      <c r="I43" s="36"/>
      <c r="J43" s="48" t="s">
        <v>125</v>
      </c>
      <c r="K43" s="48" t="s">
        <v>125</v>
      </c>
      <c r="L43" s="47"/>
      <c r="M43" s="48" t="s">
        <v>125</v>
      </c>
      <c r="N43" s="54"/>
    </row>
    <row r="44" spans="1:14" s="16" customFormat="1" x14ac:dyDescent="0.25">
      <c r="A44" s="32">
        <v>22</v>
      </c>
      <c r="B44" s="41" t="s">
        <v>140</v>
      </c>
      <c r="C44" s="55" t="s">
        <v>47</v>
      </c>
      <c r="D44" s="32" t="s">
        <v>141</v>
      </c>
      <c r="E44" s="32" t="s">
        <v>23</v>
      </c>
      <c r="F44" s="33" t="s">
        <v>24</v>
      </c>
      <c r="G44" s="33">
        <v>4</v>
      </c>
      <c r="H44" s="34" t="str">
        <f>CHOOSE(IF(MOD(MATCH(F44,{"א","ב","ג","ד","ה","ו","ש"},0)-G44-1,7)+1&gt;=6,5,MOD(MATCH(F44,{"א","ב","ג","ד","ה","ו","ש"},0)-G44-1,7)+1),"א","ב","ג","ד","ה","ו","ש")</f>
        <v>ה</v>
      </c>
      <c r="I44" s="36"/>
      <c r="J44" s="48" t="s">
        <v>125</v>
      </c>
      <c r="K44" s="48" t="s">
        <v>125</v>
      </c>
      <c r="L44" s="47"/>
      <c r="M44" s="48" t="s">
        <v>125</v>
      </c>
      <c r="N44" s="54"/>
    </row>
    <row r="45" spans="1:14" s="16" customFormat="1" x14ac:dyDescent="0.25">
      <c r="A45" s="21">
        <v>200644</v>
      </c>
      <c r="B45" s="40" t="s">
        <v>142</v>
      </c>
      <c r="C45" s="53" t="s">
        <v>33</v>
      </c>
      <c r="D45" s="21" t="s">
        <v>143</v>
      </c>
      <c r="E45" s="21" t="s">
        <v>17</v>
      </c>
      <c r="F45" s="22" t="s">
        <v>18</v>
      </c>
      <c r="G45" s="22">
        <v>2</v>
      </c>
      <c r="H45" s="23" t="str">
        <f>CHOOSE(IF(MOD(MATCH(F45,{"א","ב","ג","ד","ה","ו","ש"},0)-G45-1,7)+1&gt;=6,5,MOD(MATCH(F45,{"א","ב","ג","ד","ה","ו","ש"},0)-G45-1,7)+1),"א","ב","ג","ד","ה","ו","ש")</f>
        <v>ג</v>
      </c>
      <c r="I45" s="37"/>
      <c r="J45" s="49" t="s">
        <v>19</v>
      </c>
      <c r="K45" s="49" t="s">
        <v>19</v>
      </c>
      <c r="L45" s="49" t="s">
        <v>19</v>
      </c>
      <c r="M45" s="49" t="s">
        <v>19</v>
      </c>
      <c r="N45" s="60" t="s">
        <v>19</v>
      </c>
    </row>
    <row r="46" spans="1:14" s="16" customFormat="1" x14ac:dyDescent="0.25">
      <c r="A46" s="28">
        <v>200684</v>
      </c>
      <c r="B46" s="42" t="s">
        <v>144</v>
      </c>
      <c r="C46" s="57" t="s">
        <v>78</v>
      </c>
      <c r="D46" s="28" t="s">
        <v>145</v>
      </c>
      <c r="E46" s="28" t="s">
        <v>41</v>
      </c>
      <c r="F46" s="29" t="s">
        <v>42</v>
      </c>
      <c r="G46" s="29">
        <v>3</v>
      </c>
      <c r="H46" s="30" t="str">
        <f>CHOOSE(IF(MOD(MATCH(F46,{"א","ב","ג","ד","ה","ו","ש"},0)-G46-1,7)+1&gt;=6,5,MOD(MATCH(F46,{"א","ב","ג","ד","ה","ו","ש"},0)-G46-1,7)+1),"א","ב","ג","ד","ה","ו","ש")</f>
        <v>ה</v>
      </c>
      <c r="I46" s="38"/>
      <c r="J46" s="46" t="s">
        <v>25</v>
      </c>
      <c r="K46" s="47"/>
      <c r="L46" s="46" t="s">
        <v>25</v>
      </c>
      <c r="M46" s="47"/>
      <c r="N46" s="54"/>
    </row>
    <row r="47" spans="1:14" s="16" customFormat="1" x14ac:dyDescent="0.25">
      <c r="A47" s="24">
        <v>200793</v>
      </c>
      <c r="B47" s="40" t="s">
        <v>146</v>
      </c>
      <c r="C47" s="53" t="s">
        <v>147</v>
      </c>
      <c r="D47" s="21"/>
      <c r="E47" s="21" t="s">
        <v>17</v>
      </c>
      <c r="F47" s="22" t="s">
        <v>18</v>
      </c>
      <c r="G47" s="22">
        <v>2</v>
      </c>
      <c r="H47" s="23" t="str">
        <f>CHOOSE(IF(MOD(MATCH(F47,{"א","ב","ג","ד","ה","ו","ש"},0)-G47-1,7)+1&gt;=6,5,MOD(MATCH(F47,{"א","ב","ג","ד","ה","ו","ש"},0)-G47-1,7)+1),"א","ב","ג","ד","ה","ו","ש")</f>
        <v>ג</v>
      </c>
      <c r="I47" s="38"/>
      <c r="J47" s="46" t="s">
        <v>19</v>
      </c>
      <c r="K47" s="47"/>
      <c r="L47" s="46" t="s">
        <v>19</v>
      </c>
      <c r="M47" s="47"/>
      <c r="N47" s="54"/>
    </row>
    <row r="48" spans="1:14" s="16" customFormat="1" x14ac:dyDescent="0.25">
      <c r="A48" s="32">
        <v>200697</v>
      </c>
      <c r="B48" s="41" t="s">
        <v>148</v>
      </c>
      <c r="C48" s="55" t="s">
        <v>36</v>
      </c>
      <c r="D48" s="32" t="s">
        <v>149</v>
      </c>
      <c r="E48" s="32" t="s">
        <v>23</v>
      </c>
      <c r="F48" s="33" t="s">
        <v>24</v>
      </c>
      <c r="G48" s="33">
        <v>4</v>
      </c>
      <c r="H48" s="34" t="str">
        <f>CHOOSE(IF(MOD(MATCH(F48,{"א","ב","ג","ד","ה","ו","ש"},0)-G48-1,7)+1&gt;=6,5,MOD(MATCH(F48,{"א","ב","ג","ד","ה","ו","ש"},0)-G48-1,7)+1),"א","ב","ג","ד","ה","ו","ש")</f>
        <v>ה</v>
      </c>
      <c r="I48" s="38"/>
      <c r="J48" s="46" t="s">
        <v>25</v>
      </c>
      <c r="K48" s="47"/>
      <c r="L48" s="47"/>
      <c r="M48" s="47"/>
      <c r="N48" s="56" t="s">
        <v>25</v>
      </c>
    </row>
    <row r="49" spans="1:14" s="16" customFormat="1" x14ac:dyDescent="0.25">
      <c r="A49" s="24">
        <v>201006</v>
      </c>
      <c r="B49" s="40" t="s">
        <v>150</v>
      </c>
      <c r="C49" s="53" t="s">
        <v>151</v>
      </c>
      <c r="D49" s="21" t="s">
        <v>152</v>
      </c>
      <c r="E49" s="21" t="s">
        <v>17</v>
      </c>
      <c r="F49" s="22" t="s">
        <v>18</v>
      </c>
      <c r="G49" s="22">
        <v>2</v>
      </c>
      <c r="H49" s="23" t="str">
        <f>CHOOSE(IF(MOD(MATCH(F49,{"א","ב","ג","ד","ה","ו","ש"},0)-G49-1,7)+1&gt;=6,5,MOD(MATCH(F49,{"א","ב","ג","ד","ה","ו","ש"},0)-G49-1,7)+1),"א","ב","ג","ד","ה","ו","ש")</f>
        <v>ג</v>
      </c>
      <c r="I49" s="38"/>
      <c r="J49" s="46" t="s">
        <v>19</v>
      </c>
      <c r="K49" s="47"/>
      <c r="L49" s="46" t="s">
        <v>19</v>
      </c>
      <c r="M49" s="47"/>
      <c r="N49" s="54"/>
    </row>
    <row r="50" spans="1:14" x14ac:dyDescent="0.25">
      <c r="A50" s="21">
        <v>201019</v>
      </c>
      <c r="B50" s="40" t="s">
        <v>153</v>
      </c>
      <c r="C50" s="53" t="s">
        <v>58</v>
      </c>
      <c r="D50" s="21" t="s">
        <v>154</v>
      </c>
      <c r="E50" s="21" t="s">
        <v>17</v>
      </c>
      <c r="F50" s="22" t="s">
        <v>18</v>
      </c>
      <c r="G50" s="22">
        <v>2</v>
      </c>
      <c r="H50" s="23" t="str">
        <f>CHOOSE(IF(MOD(MATCH(F50,{"א","ב","ג","ד","ה","ו","ש"},0)-G50-1,7)+1&gt;=6,5,MOD(MATCH(F50,{"א","ב","ג","ד","ה","ו","ש"},0)-G50-1,7)+1),"א","ב","ג","ד","ה","ו","ש")</f>
        <v>ג</v>
      </c>
      <c r="I50" s="37"/>
      <c r="J50" s="49" t="s">
        <v>155</v>
      </c>
      <c r="K50" s="49" t="s">
        <v>155</v>
      </c>
      <c r="L50" s="49" t="s">
        <v>155</v>
      </c>
      <c r="M50" s="49" t="s">
        <v>155</v>
      </c>
      <c r="N50" s="60" t="s">
        <v>155</v>
      </c>
    </row>
    <row r="51" spans="1:14" x14ac:dyDescent="0.25">
      <c r="A51" s="32">
        <v>200102</v>
      </c>
      <c r="B51" s="41" t="s">
        <v>156</v>
      </c>
      <c r="C51" s="55" t="s">
        <v>123</v>
      </c>
      <c r="D51" s="32" t="s">
        <v>157</v>
      </c>
      <c r="E51" s="32" t="s">
        <v>23</v>
      </c>
      <c r="F51" s="33" t="s">
        <v>24</v>
      </c>
      <c r="G51" s="33">
        <v>4</v>
      </c>
      <c r="H51" s="34" t="str">
        <f>CHOOSE(IF(MOD(MATCH(F51,{"א","ב","ג","ד","ה","ו","ש"},0)-G51-1,7)+1&gt;=6,5,MOD(MATCH(F51,{"א","ב","ג","ד","ה","ו","ש"},0)-G51-1,7)+1),"א","ב","ג","ד","ה","ו","ש")</f>
        <v>ה</v>
      </c>
      <c r="I51" s="38"/>
      <c r="J51" s="46" t="s">
        <v>25</v>
      </c>
      <c r="K51" s="47"/>
      <c r="L51" s="47"/>
      <c r="M51" s="47"/>
      <c r="N51" s="56" t="s">
        <v>25</v>
      </c>
    </row>
    <row r="52" spans="1:14" x14ac:dyDescent="0.25">
      <c r="A52" s="32">
        <v>200101</v>
      </c>
      <c r="B52" s="41" t="s">
        <v>158</v>
      </c>
      <c r="C52" s="55" t="s">
        <v>53</v>
      </c>
      <c r="D52" s="32" t="s">
        <v>159</v>
      </c>
      <c r="E52" s="32" t="s">
        <v>23</v>
      </c>
      <c r="F52" s="33" t="s">
        <v>24</v>
      </c>
      <c r="G52" s="33">
        <v>4</v>
      </c>
      <c r="H52" s="34" t="str">
        <f>CHOOSE(IF(MOD(MATCH(F52,{"א","ב","ג","ד","ה","ו","ש"},0)-G52-1,7)+1&gt;=6,5,MOD(MATCH(F52,{"א","ב","ג","ד","ה","ו","ש"},0)-G52-1,7)+1),"א","ב","ג","ד","ה","ו","ש")</f>
        <v>ה</v>
      </c>
      <c r="I52" s="38"/>
      <c r="J52" s="46" t="s">
        <v>25</v>
      </c>
      <c r="K52" s="47"/>
      <c r="L52" s="46" t="s">
        <v>25</v>
      </c>
      <c r="M52" s="47"/>
      <c r="N52" s="54"/>
    </row>
    <row r="53" spans="1:14" x14ac:dyDescent="0.25">
      <c r="A53" s="21">
        <v>1139</v>
      </c>
      <c r="B53" s="40" t="s">
        <v>160</v>
      </c>
      <c r="C53" s="53" t="s">
        <v>84</v>
      </c>
      <c r="D53" s="21" t="s">
        <v>161</v>
      </c>
      <c r="E53" s="21" t="s">
        <v>17</v>
      </c>
      <c r="F53" s="22" t="s">
        <v>18</v>
      </c>
      <c r="G53" s="22">
        <v>2</v>
      </c>
      <c r="H53" s="23" t="str">
        <f>CHOOSE(IF(MOD(MATCH(F53,{"א","ב","ג","ד","ה","ו","ש"},0)-G53-1,7)+1&gt;=6,5,MOD(MATCH(F53,{"א","ב","ג","ד","ה","ו","ש"},0)-G53-1,7)+1),"א","ב","ג","ד","ה","ו","ש")</f>
        <v>ג</v>
      </c>
      <c r="I53" s="36"/>
      <c r="J53" s="48" t="s">
        <v>155</v>
      </c>
      <c r="K53" s="48" t="s">
        <v>155</v>
      </c>
      <c r="L53" s="47"/>
      <c r="M53" s="48" t="s">
        <v>155</v>
      </c>
      <c r="N53" s="54"/>
    </row>
    <row r="54" spans="1:14" x14ac:dyDescent="0.25">
      <c r="A54" s="24">
        <v>1189</v>
      </c>
      <c r="B54" s="40" t="s">
        <v>162</v>
      </c>
      <c r="C54" s="53" t="s">
        <v>163</v>
      </c>
      <c r="D54" s="21" t="s">
        <v>163</v>
      </c>
      <c r="E54" s="21" t="s">
        <v>17</v>
      </c>
      <c r="F54" s="22" t="s">
        <v>18</v>
      </c>
      <c r="G54" s="22">
        <v>2</v>
      </c>
      <c r="H54" s="23" t="str">
        <f>CHOOSE(IF(MOD(MATCH(F54,{"א","ב","ג","ד","ה","ו","ש"},0)-G54-1,7)+1&gt;=6,5,MOD(MATCH(F54,{"א","ב","ג","ד","ה","ו","ש"},0)-G54-1,7)+1),"א","ב","ג","ד","ה","ו","ש")</f>
        <v>ג</v>
      </c>
      <c r="I54" s="36"/>
      <c r="J54" s="48" t="s">
        <v>155</v>
      </c>
      <c r="K54" s="48" t="s">
        <v>155</v>
      </c>
      <c r="L54" s="47"/>
      <c r="M54" s="48" t="s">
        <v>155</v>
      </c>
      <c r="N54" s="54"/>
    </row>
    <row r="55" spans="1:14" x14ac:dyDescent="0.25">
      <c r="A55" s="32">
        <v>1576</v>
      </c>
      <c r="B55" s="41" t="s">
        <v>164</v>
      </c>
      <c r="C55" s="55" t="s">
        <v>53</v>
      </c>
      <c r="D55" s="32" t="s">
        <v>165</v>
      </c>
      <c r="E55" s="32" t="s">
        <v>23</v>
      </c>
      <c r="F55" s="33" t="s">
        <v>24</v>
      </c>
      <c r="G55" s="33">
        <v>4</v>
      </c>
      <c r="H55" s="34" t="str">
        <f>CHOOSE(IF(MOD(MATCH(F55,{"א","ב","ג","ד","ה","ו","ש"},0)-G55-1,7)+1&gt;=6,5,MOD(MATCH(F55,{"א","ב","ג","ד","ה","ו","ש"},0)-G55-1,7)+1),"א","ב","ג","ד","ה","ו","ש")</f>
        <v>ה</v>
      </c>
      <c r="I55" s="36"/>
      <c r="J55" s="48" t="s">
        <v>125</v>
      </c>
      <c r="K55" s="48" t="s">
        <v>125</v>
      </c>
      <c r="L55" s="47"/>
      <c r="M55" s="48" t="s">
        <v>125</v>
      </c>
      <c r="N55" s="54"/>
    </row>
    <row r="56" spans="1:14" x14ac:dyDescent="0.25">
      <c r="A56" s="32">
        <v>1134</v>
      </c>
      <c r="B56" s="41" t="s">
        <v>166</v>
      </c>
      <c r="C56" s="55" t="s">
        <v>53</v>
      </c>
      <c r="D56" s="32" t="s">
        <v>167</v>
      </c>
      <c r="E56" s="32" t="s">
        <v>23</v>
      </c>
      <c r="F56" s="33" t="s">
        <v>24</v>
      </c>
      <c r="G56" s="33">
        <v>4</v>
      </c>
      <c r="H56" s="34" t="str">
        <f>CHOOSE(IF(MOD(MATCH(F56,{"א","ב","ג","ד","ה","ו","ש"},0)-G56-1,7)+1&gt;=6,5,MOD(MATCH(F56,{"א","ב","ג","ד","ה","ו","ש"},0)-G56-1,7)+1),"א","ב","ג","ד","ה","ו","ש")</f>
        <v>ה</v>
      </c>
      <c r="I56" s="36"/>
      <c r="J56" s="48" t="s">
        <v>125</v>
      </c>
      <c r="K56" s="48" t="s">
        <v>125</v>
      </c>
      <c r="L56" s="47"/>
      <c r="M56" s="48" t="s">
        <v>125</v>
      </c>
      <c r="N56" s="54"/>
    </row>
    <row r="57" spans="1:14" x14ac:dyDescent="0.25">
      <c r="A57" s="25">
        <v>200951</v>
      </c>
      <c r="B57" s="43" t="s">
        <v>168</v>
      </c>
      <c r="C57" s="58" t="s">
        <v>107</v>
      </c>
      <c r="D57" s="25" t="s">
        <v>169</v>
      </c>
      <c r="E57" s="25" t="s">
        <v>71</v>
      </c>
      <c r="F57" s="26" t="s">
        <v>72</v>
      </c>
      <c r="G57" s="26">
        <v>2</v>
      </c>
      <c r="H57" s="27" t="str">
        <f>CHOOSE(IF(MOD(MATCH(F57,{"א","ב","ג","ד","ה","ו","ש"},0)-G57-1,7)+1&gt;=6,5,MOD(MATCH(F57,{"א","ב","ג","ד","ה","ו","ש"},0)-G57-1,7)+1),"א","ב","ג","ד","ה","ו","ש")</f>
        <v>א</v>
      </c>
      <c r="I57" s="36"/>
      <c r="J57" s="48" t="s">
        <v>155</v>
      </c>
      <c r="K57" s="48" t="s">
        <v>155</v>
      </c>
      <c r="L57" s="47"/>
      <c r="M57" s="48" t="s">
        <v>155</v>
      </c>
      <c r="N57" s="54"/>
    </row>
    <row r="58" spans="1:14" x14ac:dyDescent="0.25">
      <c r="A58" s="32">
        <v>201001</v>
      </c>
      <c r="B58" s="41" t="s">
        <v>170</v>
      </c>
      <c r="C58" s="55" t="s">
        <v>27</v>
      </c>
      <c r="D58" s="32" t="s">
        <v>171</v>
      </c>
      <c r="E58" s="32" t="s">
        <v>23</v>
      </c>
      <c r="F58" s="33" t="s">
        <v>24</v>
      </c>
      <c r="G58" s="33">
        <v>4</v>
      </c>
      <c r="H58" s="34" t="str">
        <f>CHOOSE(IF(MOD(MATCH(F58,{"א","ב","ג","ד","ה","ו","ש"},0)-G58-1,7)+1&gt;=6,5,MOD(MATCH(F58,{"א","ב","ג","ד","ה","ו","ש"},0)-G58-1,7)+1),"א","ב","ג","ד","ה","ו","ש")</f>
        <v>ה</v>
      </c>
      <c r="I58" s="38"/>
      <c r="J58" s="46" t="s">
        <v>25</v>
      </c>
      <c r="K58" s="47"/>
      <c r="L58" s="47"/>
      <c r="M58" s="47"/>
      <c r="N58" s="56" t="s">
        <v>25</v>
      </c>
    </row>
    <row r="59" spans="1:14" x14ac:dyDescent="0.25">
      <c r="A59" s="21">
        <v>200977</v>
      </c>
      <c r="B59" s="40" t="s">
        <v>172</v>
      </c>
      <c r="C59" s="53" t="s">
        <v>105</v>
      </c>
      <c r="D59" s="21" t="s">
        <v>173</v>
      </c>
      <c r="E59" s="21" t="s">
        <v>17</v>
      </c>
      <c r="F59" s="22" t="s">
        <v>18</v>
      </c>
      <c r="G59" s="22">
        <v>2</v>
      </c>
      <c r="H59" s="23" t="str">
        <f>CHOOSE(IF(MOD(MATCH(F59,{"א","ב","ג","ד","ה","ו","ש"},0)-G59-1,7)+1&gt;=6,5,MOD(MATCH(F59,{"א","ב","ג","ד","ה","ו","ש"},0)-G59-1,7)+1),"א","ב","ג","ד","ה","ו","ש")</f>
        <v>ג</v>
      </c>
      <c r="I59" s="37"/>
      <c r="J59" s="49" t="s">
        <v>155</v>
      </c>
      <c r="K59" s="49" t="s">
        <v>155</v>
      </c>
      <c r="L59" s="49" t="s">
        <v>155</v>
      </c>
      <c r="M59" s="49" t="s">
        <v>155</v>
      </c>
      <c r="N59" s="60" t="s">
        <v>155</v>
      </c>
    </row>
    <row r="60" spans="1:14" x14ac:dyDescent="0.25">
      <c r="A60" s="21">
        <v>200190</v>
      </c>
      <c r="B60" s="40" t="s">
        <v>174</v>
      </c>
      <c r="C60" s="53" t="s">
        <v>175</v>
      </c>
      <c r="D60" s="21" t="s">
        <v>176</v>
      </c>
      <c r="E60" s="21" t="s">
        <v>17</v>
      </c>
      <c r="F60" s="22" t="s">
        <v>18</v>
      </c>
      <c r="G60" s="22">
        <v>2</v>
      </c>
      <c r="H60" s="23" t="str">
        <f>CHOOSE(IF(MOD(MATCH(F60,{"א","ב","ג","ד","ה","ו","ש"},0)-G60-1,7)+1&gt;=6,5,MOD(MATCH(F60,{"א","ב","ג","ד","ה","ו","ש"},0)-G60-1,7)+1),"א","ב","ג","ד","ה","ו","ש")</f>
        <v>ג</v>
      </c>
      <c r="I60" s="37"/>
      <c r="J60" s="49" t="s">
        <v>155</v>
      </c>
      <c r="K60" s="49" t="s">
        <v>155</v>
      </c>
      <c r="L60" s="49" t="s">
        <v>155</v>
      </c>
      <c r="M60" s="49" t="s">
        <v>155</v>
      </c>
      <c r="N60" s="60" t="s">
        <v>155</v>
      </c>
    </row>
    <row r="61" spans="1:14" x14ac:dyDescent="0.25">
      <c r="A61" s="32">
        <v>200995</v>
      </c>
      <c r="B61" s="41" t="s">
        <v>177</v>
      </c>
      <c r="C61" s="55" t="s">
        <v>178</v>
      </c>
      <c r="D61" s="32"/>
      <c r="E61" s="32" t="s">
        <v>23</v>
      </c>
      <c r="F61" s="33" t="s">
        <v>24</v>
      </c>
      <c r="G61" s="33">
        <v>4</v>
      </c>
      <c r="H61" s="34" t="str">
        <f>CHOOSE(IF(MOD(MATCH(F61,{"א","ב","ג","ד","ה","ו","ש"},0)-G61-1,7)+1&gt;=6,5,MOD(MATCH(F61,{"א","ב","ג","ד","ה","ו","ש"},0)-G61-1,7)+1),"א","ב","ג","ד","ה","ו","ש")</f>
        <v>ה</v>
      </c>
      <c r="I61" s="38"/>
      <c r="J61" s="46" t="s">
        <v>25</v>
      </c>
      <c r="K61" s="47"/>
      <c r="L61" s="46" t="s">
        <v>25</v>
      </c>
      <c r="M61" s="47"/>
      <c r="N61" s="54"/>
    </row>
    <row r="62" spans="1:14" x14ac:dyDescent="0.25">
      <c r="A62" s="32">
        <v>200867</v>
      </c>
      <c r="B62" s="41" t="s">
        <v>179</v>
      </c>
      <c r="C62" s="55" t="s">
        <v>87</v>
      </c>
      <c r="D62" s="32" t="s">
        <v>180</v>
      </c>
      <c r="E62" s="32" t="s">
        <v>23</v>
      </c>
      <c r="F62" s="33" t="s">
        <v>24</v>
      </c>
      <c r="G62" s="33">
        <v>4</v>
      </c>
      <c r="H62" s="34" t="str">
        <f>CHOOSE(IF(MOD(MATCH(F62,{"א","ב","ג","ד","ה","ו","ש"},0)-G62-1,7)+1&gt;=6,5,MOD(MATCH(F62,{"א","ב","ג","ד","ה","ו","ש"},0)-G62-1,7)+1),"א","ב","ג","ד","ה","ו","ש")</f>
        <v>ה</v>
      </c>
      <c r="I62" s="38"/>
      <c r="J62" s="46" t="s">
        <v>25</v>
      </c>
      <c r="K62" s="47"/>
      <c r="L62" s="47"/>
      <c r="M62" s="47"/>
      <c r="N62" s="56" t="s">
        <v>25</v>
      </c>
    </row>
    <row r="63" spans="1:14" x14ac:dyDescent="0.25">
      <c r="A63" s="32">
        <v>200801</v>
      </c>
      <c r="B63" s="41" t="s">
        <v>181</v>
      </c>
      <c r="C63" s="55" t="s">
        <v>182</v>
      </c>
      <c r="D63" s="32" t="s">
        <v>183</v>
      </c>
      <c r="E63" s="32" t="s">
        <v>23</v>
      </c>
      <c r="F63" s="33" t="s">
        <v>24</v>
      </c>
      <c r="G63" s="33">
        <v>4</v>
      </c>
      <c r="H63" s="34" t="str">
        <f>CHOOSE(IF(MOD(MATCH(F63,{"א","ב","ג","ד","ה","ו","ש"},0)-G63-1,7)+1&gt;=6,5,MOD(MATCH(F63,{"א","ב","ג","ד","ה","ו","ש"},0)-G63-1,7)+1),"א","ב","ג","ד","ה","ו","ש")</f>
        <v>ה</v>
      </c>
      <c r="I63" s="38"/>
      <c r="J63" s="46" t="s">
        <v>25</v>
      </c>
      <c r="K63" s="47"/>
      <c r="L63" s="46" t="s">
        <v>25</v>
      </c>
      <c r="M63" s="47"/>
      <c r="N63" s="54"/>
    </row>
    <row r="64" spans="1:14" x14ac:dyDescent="0.25">
      <c r="A64" s="32">
        <v>200962</v>
      </c>
      <c r="B64" s="41" t="s">
        <v>184</v>
      </c>
      <c r="C64" s="55" t="s">
        <v>185</v>
      </c>
      <c r="D64" s="32" t="s">
        <v>186</v>
      </c>
      <c r="E64" s="32" t="s">
        <v>23</v>
      </c>
      <c r="F64" s="33" t="s">
        <v>24</v>
      </c>
      <c r="G64" s="33">
        <v>4</v>
      </c>
      <c r="H64" s="34" t="str">
        <f>CHOOSE(IF(MOD(MATCH(F64,{"א","ב","ג","ד","ה","ו","ש"},0)-G64-1,7)+1&gt;=6,5,MOD(MATCH(F64,{"א","ב","ג","ד","ה","ו","ש"},0)-G64-1,7)+1),"א","ב","ג","ד","ה","ו","ש")</f>
        <v>ה</v>
      </c>
      <c r="I64" s="38"/>
      <c r="J64" s="46" t="s">
        <v>25</v>
      </c>
      <c r="K64" s="47"/>
      <c r="L64" s="47"/>
      <c r="M64" s="47"/>
      <c r="N64" s="56" t="s">
        <v>25</v>
      </c>
    </row>
    <row r="65" spans="1:14" x14ac:dyDescent="0.25">
      <c r="A65" s="32">
        <v>200710</v>
      </c>
      <c r="B65" s="41" t="s">
        <v>187</v>
      </c>
      <c r="C65" s="55" t="s">
        <v>123</v>
      </c>
      <c r="D65" s="32" t="s">
        <v>188</v>
      </c>
      <c r="E65" s="32" t="s">
        <v>23</v>
      </c>
      <c r="F65" s="33" t="s">
        <v>24</v>
      </c>
      <c r="G65" s="33">
        <v>4</v>
      </c>
      <c r="H65" s="34" t="str">
        <f>CHOOSE(IF(MOD(MATCH(F65,{"א","ב","ג","ד","ה","ו","ש"},0)-G65-1,7)+1&gt;=6,5,MOD(MATCH(F65,{"א","ב","ג","ד","ה","ו","ש"},0)-G65-1,7)+1),"א","ב","ג","ד","ה","ו","ש")</f>
        <v>ה</v>
      </c>
      <c r="I65" s="38"/>
      <c r="J65" s="46" t="s">
        <v>25</v>
      </c>
      <c r="K65" s="47"/>
      <c r="L65" s="46" t="s">
        <v>25</v>
      </c>
      <c r="M65" s="47"/>
      <c r="N65" s="54"/>
    </row>
    <row r="66" spans="1:14" x14ac:dyDescent="0.25">
      <c r="A66" s="32">
        <v>200350</v>
      </c>
      <c r="B66" s="41" t="s">
        <v>189</v>
      </c>
      <c r="C66" s="55" t="s">
        <v>123</v>
      </c>
      <c r="D66" s="32" t="s">
        <v>190</v>
      </c>
      <c r="E66" s="32" t="s">
        <v>23</v>
      </c>
      <c r="F66" s="33" t="s">
        <v>24</v>
      </c>
      <c r="G66" s="33">
        <v>4</v>
      </c>
      <c r="H66" s="34" t="str">
        <f>CHOOSE(IF(MOD(MATCH(F66,{"א","ב","ג","ד","ה","ו","ש"},0)-G66-1,7)+1&gt;=6,5,MOD(MATCH(F66,{"א","ב","ג","ד","ה","ו","ש"},0)-G66-1,7)+1),"א","ב","ג","ד","ה","ו","ש")</f>
        <v>ה</v>
      </c>
      <c r="I66" s="38"/>
      <c r="J66" s="46" t="s">
        <v>25</v>
      </c>
      <c r="K66" s="47"/>
      <c r="L66" s="47"/>
      <c r="M66" s="47"/>
      <c r="N66" s="56" t="s">
        <v>25</v>
      </c>
    </row>
    <row r="67" spans="1:14" x14ac:dyDescent="0.25">
      <c r="A67" s="21">
        <v>200674</v>
      </c>
      <c r="B67" s="40" t="s">
        <v>191</v>
      </c>
      <c r="C67" s="53" t="s">
        <v>175</v>
      </c>
      <c r="D67" s="21" t="s">
        <v>192</v>
      </c>
      <c r="E67" s="21" t="s">
        <v>17</v>
      </c>
      <c r="F67" s="22" t="s">
        <v>18</v>
      </c>
      <c r="G67" s="22">
        <v>2</v>
      </c>
      <c r="H67" s="23" t="str">
        <f>CHOOSE(IF(MOD(MATCH(F67,{"א","ב","ג","ד","ה","ו","ש"},0)-G67-1,7)+1&gt;=6,5,MOD(MATCH(F67,{"א","ב","ג","ד","ה","ו","ש"},0)-G67-1,7)+1),"א","ב","ג","ד","ה","ו","ש")</f>
        <v>ג</v>
      </c>
      <c r="I67" s="37"/>
      <c r="J67" s="49" t="s">
        <v>155</v>
      </c>
      <c r="K67" s="49" t="s">
        <v>155</v>
      </c>
      <c r="L67" s="49" t="s">
        <v>155</v>
      </c>
      <c r="M67" s="49" t="s">
        <v>155</v>
      </c>
      <c r="N67" s="60" t="s">
        <v>155</v>
      </c>
    </row>
    <row r="68" spans="1:14" x14ac:dyDescent="0.25">
      <c r="A68" s="32">
        <v>200675</v>
      </c>
      <c r="B68" s="41" t="s">
        <v>193</v>
      </c>
      <c r="C68" s="55" t="s">
        <v>194</v>
      </c>
      <c r="D68" s="32" t="s">
        <v>195</v>
      </c>
      <c r="E68" s="32" t="s">
        <v>23</v>
      </c>
      <c r="F68" s="33" t="s">
        <v>24</v>
      </c>
      <c r="G68" s="33">
        <v>4</v>
      </c>
      <c r="H68" s="34" t="str">
        <f>CHOOSE(IF(MOD(MATCH(F68,{"א","ב","ג","ד","ה","ו","ש"},0)-G68-1,7)+1&gt;=6,5,MOD(MATCH(F68,{"א","ב","ג","ד","ה","ו","ש"},0)-G68-1,7)+1),"א","ב","ג","ד","ה","ו","ש")</f>
        <v>ה</v>
      </c>
      <c r="I68" s="38"/>
      <c r="J68" s="46" t="s">
        <v>25</v>
      </c>
      <c r="K68" s="47"/>
      <c r="L68" s="46" t="s">
        <v>25</v>
      </c>
      <c r="M68" s="47"/>
      <c r="N68" s="54"/>
    </row>
    <row r="69" spans="1:14" x14ac:dyDescent="0.25">
      <c r="A69" s="25">
        <v>200953</v>
      </c>
      <c r="B69" s="43" t="s">
        <v>196</v>
      </c>
      <c r="C69" s="58" t="s">
        <v>197</v>
      </c>
      <c r="D69" s="25" t="s">
        <v>197</v>
      </c>
      <c r="E69" s="25" t="s">
        <v>71</v>
      </c>
      <c r="F69" s="26" t="s">
        <v>72</v>
      </c>
      <c r="G69" s="26">
        <v>2</v>
      </c>
      <c r="H69" s="27" t="str">
        <f>CHOOSE(IF(MOD(MATCH(F69,{"א","ב","ג","ד","ה","ו","ש"},0)-G69-1,7)+1&gt;=6,5,MOD(MATCH(F69,{"א","ב","ג","ד","ה","ו","ש"},0)-G69-1,7)+1),"א","ב","ג","ד","ה","ו","ש")</f>
        <v>א</v>
      </c>
      <c r="I69" s="36"/>
      <c r="J69" s="48" t="s">
        <v>155</v>
      </c>
      <c r="K69" s="48" t="s">
        <v>155</v>
      </c>
      <c r="L69" s="47"/>
      <c r="M69" s="48" t="s">
        <v>155</v>
      </c>
      <c r="N69" s="54"/>
    </row>
    <row r="70" spans="1:14" x14ac:dyDescent="0.25">
      <c r="A70" s="25">
        <v>200990</v>
      </c>
      <c r="B70" s="43" t="s">
        <v>198</v>
      </c>
      <c r="C70" s="58" t="s">
        <v>107</v>
      </c>
      <c r="D70" s="25" t="s">
        <v>199</v>
      </c>
      <c r="E70" s="25" t="s">
        <v>71</v>
      </c>
      <c r="F70" s="26" t="s">
        <v>72</v>
      </c>
      <c r="G70" s="26">
        <v>2</v>
      </c>
      <c r="H70" s="27" t="str">
        <f>CHOOSE(IF(MOD(MATCH(F70,{"א","ב","ג","ד","ה","ו","ש"},0)-G70-1,7)+1&gt;=6,5,MOD(MATCH(F70,{"א","ב","ג","ד","ה","ו","ש"},0)-G70-1,7)+1),"א","ב","ג","ד","ה","ו","ש")</f>
        <v>א</v>
      </c>
      <c r="I70" s="36"/>
      <c r="J70" s="48" t="s">
        <v>155</v>
      </c>
      <c r="K70" s="48" t="s">
        <v>155</v>
      </c>
      <c r="L70" s="47"/>
      <c r="M70" s="48" t="s">
        <v>155</v>
      </c>
      <c r="N70" s="54"/>
    </row>
    <row r="71" spans="1:14" x14ac:dyDescent="0.25">
      <c r="A71" s="32">
        <v>201000</v>
      </c>
      <c r="B71" s="41" t="s">
        <v>200</v>
      </c>
      <c r="C71" s="55" t="s">
        <v>123</v>
      </c>
      <c r="D71" s="32" t="s">
        <v>201</v>
      </c>
      <c r="E71" s="32" t="s">
        <v>23</v>
      </c>
      <c r="F71" s="33" t="s">
        <v>24</v>
      </c>
      <c r="G71" s="33">
        <v>4</v>
      </c>
      <c r="H71" s="34" t="str">
        <f>CHOOSE(IF(MOD(MATCH(F71,{"א","ב","ג","ד","ה","ו","ש"},0)-G71-1,7)+1&gt;=6,5,MOD(MATCH(F71,{"א","ב","ג","ד","ה","ו","ש"},0)-G71-1,7)+1),"א","ב","ג","ד","ה","ו","ש")</f>
        <v>ה</v>
      </c>
      <c r="I71" s="38"/>
      <c r="J71" s="46" t="s">
        <v>25</v>
      </c>
      <c r="K71" s="47"/>
      <c r="L71" s="47"/>
      <c r="M71" s="47"/>
      <c r="N71" s="56" t="s">
        <v>25</v>
      </c>
    </row>
    <row r="72" spans="1:14" x14ac:dyDescent="0.25">
      <c r="A72" s="32">
        <v>200145</v>
      </c>
      <c r="B72" s="41" t="s">
        <v>202</v>
      </c>
      <c r="C72" s="55" t="s">
        <v>185</v>
      </c>
      <c r="D72" s="32" t="s">
        <v>203</v>
      </c>
      <c r="E72" s="32" t="s">
        <v>23</v>
      </c>
      <c r="F72" s="33" t="s">
        <v>24</v>
      </c>
      <c r="G72" s="33">
        <v>4</v>
      </c>
      <c r="H72" s="34" t="str">
        <f>CHOOSE(IF(MOD(MATCH(F72,{"א","ב","ג","ד","ה","ו","ש"},0)-G72-1,7)+1&gt;=6,5,MOD(MATCH(F72,{"א","ב","ג","ד","ה","ו","ש"},0)-G72-1,7)+1),"א","ב","ג","ד","ה","ו","ש")</f>
        <v>ה</v>
      </c>
      <c r="I72" s="36"/>
      <c r="J72" s="48" t="s">
        <v>155</v>
      </c>
      <c r="K72" s="48" t="s">
        <v>155</v>
      </c>
      <c r="L72" s="47"/>
      <c r="M72" s="48" t="s">
        <v>155</v>
      </c>
      <c r="N72" s="54"/>
    </row>
    <row r="73" spans="1:14" x14ac:dyDescent="0.25">
      <c r="A73" s="32">
        <v>210115</v>
      </c>
      <c r="B73" s="41" t="s">
        <v>204</v>
      </c>
      <c r="C73" s="55" t="s">
        <v>123</v>
      </c>
      <c r="D73" s="32" t="s">
        <v>205</v>
      </c>
      <c r="E73" s="32" t="s">
        <v>23</v>
      </c>
      <c r="F73" s="33" t="s">
        <v>24</v>
      </c>
      <c r="G73" s="33">
        <v>4</v>
      </c>
      <c r="H73" s="34" t="str">
        <f>CHOOSE(IF(MOD(MATCH(F73,{"א","ב","ג","ד","ה","ו","ש"},0)-G73-1,7)+1&gt;=6,5,MOD(MATCH(F73,{"א","ב","ג","ד","ה","ו","ש"},0)-G73-1,7)+1),"א","ב","ג","ד","ה","ו","ש")</f>
        <v>ה</v>
      </c>
      <c r="I73" s="36"/>
      <c r="J73" s="48" t="s">
        <v>25</v>
      </c>
      <c r="K73" s="47"/>
      <c r="L73" s="47"/>
      <c r="M73" s="47"/>
      <c r="N73" s="54"/>
    </row>
    <row r="74" spans="1:14" x14ac:dyDescent="0.25">
      <c r="A74" s="31">
        <v>210150</v>
      </c>
      <c r="B74" s="42" t="s">
        <v>206</v>
      </c>
      <c r="C74" s="57" t="s">
        <v>207</v>
      </c>
      <c r="D74" s="28"/>
      <c r="E74" s="28" t="s">
        <v>41</v>
      </c>
      <c r="F74" s="29" t="s">
        <v>42</v>
      </c>
      <c r="G74" s="29">
        <v>3</v>
      </c>
      <c r="H74" s="30" t="str">
        <f>CHOOSE(IF(MOD(MATCH(F74,{"א","ב","ג","ד","ה","ו","ש"},0)-G74-1,7)+1&gt;=6,5,MOD(MATCH(F74,{"א","ב","ג","ד","ה","ו","ש"},0)-G74-1,7)+1),"א","ב","ג","ד","ה","ו","ש")</f>
        <v>ה</v>
      </c>
      <c r="I74" s="36"/>
      <c r="J74" s="48" t="s">
        <v>25</v>
      </c>
      <c r="K74" s="48" t="s">
        <v>25</v>
      </c>
      <c r="L74" s="47"/>
      <c r="M74" s="48" t="s">
        <v>25</v>
      </c>
      <c r="N74" s="54"/>
    </row>
    <row r="75" spans="1:14" x14ac:dyDescent="0.25">
      <c r="A75" s="32">
        <v>210072</v>
      </c>
      <c r="B75" s="41" t="s">
        <v>208</v>
      </c>
      <c r="C75" s="55" t="s">
        <v>209</v>
      </c>
      <c r="D75" s="32" t="s">
        <v>210</v>
      </c>
      <c r="E75" s="32" t="s">
        <v>23</v>
      </c>
      <c r="F75" s="33" t="s">
        <v>24</v>
      </c>
      <c r="G75" s="33">
        <v>4</v>
      </c>
      <c r="H75" s="34" t="str">
        <f>CHOOSE(IF(MOD(MATCH(F75,{"א","ב","ג","ד","ה","ו","ש"},0)-G75-1,7)+1&gt;=6,5,MOD(MATCH(F75,{"א","ב","ג","ד","ה","ו","ש"},0)-G75-1,7)+1),"א","ב","ג","ד","ה","ו","ש")</f>
        <v>ה</v>
      </c>
      <c r="I75" s="36"/>
      <c r="J75" s="48" t="s">
        <v>25</v>
      </c>
      <c r="K75" s="47"/>
      <c r="L75" s="47"/>
      <c r="M75" s="47"/>
      <c r="N75" s="54"/>
    </row>
    <row r="76" spans="1:14" x14ac:dyDescent="0.25">
      <c r="A76" s="25">
        <v>210136</v>
      </c>
      <c r="B76" s="43" t="s">
        <v>211</v>
      </c>
      <c r="C76" s="58" t="s">
        <v>107</v>
      </c>
      <c r="D76" s="25" t="s">
        <v>212</v>
      </c>
      <c r="E76" s="25" t="s">
        <v>71</v>
      </c>
      <c r="F76" s="26" t="s">
        <v>72</v>
      </c>
      <c r="G76" s="26">
        <v>2</v>
      </c>
      <c r="H76" s="27" t="str">
        <f>CHOOSE(IF(MOD(MATCH(F76,{"א","ב","ג","ד","ה","ו","ש"},0)-G76-1,7)+1&gt;=6,5,MOD(MATCH(F76,{"א","ב","ג","ד","ה","ו","ש"},0)-G76-1,7)+1),"א","ב","ג","ד","ה","ו","ש")</f>
        <v>א</v>
      </c>
      <c r="I76" s="36"/>
      <c r="J76" s="48" t="s">
        <v>73</v>
      </c>
      <c r="K76" s="47"/>
      <c r="L76" s="47"/>
      <c r="M76" s="47"/>
      <c r="N76" s="54"/>
    </row>
    <row r="77" spans="1:14" x14ac:dyDescent="0.25">
      <c r="A77" s="32">
        <v>2100144</v>
      </c>
      <c r="B77" s="41" t="s">
        <v>213</v>
      </c>
      <c r="C77" s="55" t="s">
        <v>214</v>
      </c>
      <c r="D77" s="32" t="s">
        <v>215</v>
      </c>
      <c r="E77" s="32" t="s">
        <v>23</v>
      </c>
      <c r="F77" s="33" t="s">
        <v>24</v>
      </c>
      <c r="G77" s="33">
        <v>4</v>
      </c>
      <c r="H77" s="34" t="str">
        <f>CHOOSE(IF(MOD(MATCH(F77,{"א","ב","ג","ד","ה","ו","ש"},0)-G77-1,7)+1&gt;=6,5,MOD(MATCH(F77,{"א","ב","ג","ד","ה","ו","ש"},0)-G77-1,7)+1),"א","ב","ג","ד","ה","ו","ש")</f>
        <v>ה</v>
      </c>
      <c r="I77" s="36"/>
      <c r="J77" s="48" t="s">
        <v>25</v>
      </c>
      <c r="K77" s="47"/>
      <c r="L77" s="47"/>
      <c r="M77" s="47"/>
      <c r="N77" s="54"/>
    </row>
    <row r="78" spans="1:14" x14ac:dyDescent="0.25">
      <c r="A78" s="21">
        <v>210114</v>
      </c>
      <c r="B78" s="40" t="s">
        <v>216</v>
      </c>
      <c r="C78" s="53" t="s">
        <v>217</v>
      </c>
      <c r="D78" s="21" t="s">
        <v>218</v>
      </c>
      <c r="E78" s="21" t="s">
        <v>17</v>
      </c>
      <c r="F78" s="22" t="s">
        <v>18</v>
      </c>
      <c r="G78" s="22">
        <v>2</v>
      </c>
      <c r="H78" s="23" t="str">
        <f>CHOOSE(IF(MOD(MATCH(F78,{"א","ב","ג","ד","ה","ו","ש"},0)-G78-1,7)+1&gt;=6,5,MOD(MATCH(F78,{"א","ב","ג","ד","ה","ו","ש"},0)-G78-1,7)+1),"א","ב","ג","ד","ה","ו","ש")</f>
        <v>ג</v>
      </c>
      <c r="I78" s="36"/>
      <c r="J78" s="48" t="s">
        <v>19</v>
      </c>
      <c r="K78" s="47"/>
      <c r="L78" s="47"/>
      <c r="M78" s="47"/>
      <c r="N78" s="54"/>
    </row>
    <row r="79" spans="1:14" x14ac:dyDescent="0.25">
      <c r="A79" s="21">
        <v>210041</v>
      </c>
      <c r="B79" s="40" t="s">
        <v>219</v>
      </c>
      <c r="C79" s="53" t="s">
        <v>58</v>
      </c>
      <c r="D79" s="21" t="s">
        <v>220</v>
      </c>
      <c r="E79" s="21" t="s">
        <v>17</v>
      </c>
      <c r="F79" s="22" t="s">
        <v>18</v>
      </c>
      <c r="G79" s="22">
        <v>2</v>
      </c>
      <c r="H79" s="23" t="str">
        <f>CHOOSE(IF(MOD(MATCH(F79,{"א","ב","ג","ד","ה","ו","ש"},0)-G79-1,7)+1&gt;=6,5,MOD(MATCH(F79,{"א","ב","ג","ד","ה","ו","ש"},0)-G79-1,7)+1),"א","ב","ג","ד","ה","ו","ש")</f>
        <v>ג</v>
      </c>
      <c r="I79" s="36"/>
      <c r="J79" s="48" t="s">
        <v>19</v>
      </c>
      <c r="K79" s="47"/>
      <c r="L79" s="47"/>
      <c r="M79" s="47"/>
      <c r="N79" s="54"/>
    </row>
    <row r="80" spans="1:14" x14ac:dyDescent="0.25">
      <c r="A80" s="21">
        <v>210053</v>
      </c>
      <c r="B80" s="40" t="s">
        <v>221</v>
      </c>
      <c r="C80" s="53" t="s">
        <v>58</v>
      </c>
      <c r="D80" s="21" t="s">
        <v>222</v>
      </c>
      <c r="E80" s="21" t="s">
        <v>17</v>
      </c>
      <c r="F80" s="22" t="s">
        <v>18</v>
      </c>
      <c r="G80" s="22">
        <v>2</v>
      </c>
      <c r="H80" s="23" t="str">
        <f>CHOOSE(IF(MOD(MATCH(F80,{"א","ב","ג","ד","ה","ו","ש"},0)-G80-1,7)+1&gt;=6,5,MOD(MATCH(F80,{"א","ב","ג","ד","ה","ו","ש"},0)-G80-1,7)+1),"א","ב","ג","ד","ה","ו","ש")</f>
        <v>ג</v>
      </c>
      <c r="I80" s="36"/>
      <c r="J80" s="48" t="s">
        <v>19</v>
      </c>
      <c r="K80" s="47"/>
      <c r="L80" s="47"/>
      <c r="M80" s="47"/>
      <c r="N80" s="54"/>
    </row>
    <row r="81" spans="1:14" x14ac:dyDescent="0.25">
      <c r="A81" s="21">
        <v>210127</v>
      </c>
      <c r="B81" s="40" t="s">
        <v>223</v>
      </c>
      <c r="C81" s="53" t="s">
        <v>33</v>
      </c>
      <c r="D81" s="21" t="s">
        <v>224</v>
      </c>
      <c r="E81" s="21" t="s">
        <v>17</v>
      </c>
      <c r="F81" s="22" t="s">
        <v>18</v>
      </c>
      <c r="G81" s="22">
        <v>2</v>
      </c>
      <c r="H81" s="23" t="str">
        <f>CHOOSE(IF(MOD(MATCH(F81,{"א","ב","ג","ד","ה","ו","ש"},0)-G81-1,7)+1&gt;=6,5,MOD(MATCH(F81,{"א","ב","ג","ד","ה","ו","ש"},0)-G81-1,7)+1),"א","ב","ג","ד","ה","ו","ש")</f>
        <v>ג</v>
      </c>
      <c r="I81" s="36"/>
      <c r="J81" s="48" t="s">
        <v>19</v>
      </c>
      <c r="K81" s="47"/>
      <c r="L81" s="47"/>
      <c r="M81" s="47"/>
      <c r="N81" s="54"/>
    </row>
    <row r="82" spans="1:14" x14ac:dyDescent="0.25">
      <c r="A82" s="32">
        <v>210155</v>
      </c>
      <c r="B82" s="41" t="s">
        <v>225</v>
      </c>
      <c r="C82" s="55" t="s">
        <v>226</v>
      </c>
      <c r="D82" s="32" t="s">
        <v>227</v>
      </c>
      <c r="E82" s="32" t="s">
        <v>23</v>
      </c>
      <c r="F82" s="33" t="s">
        <v>24</v>
      </c>
      <c r="G82" s="33">
        <v>4</v>
      </c>
      <c r="H82" s="34" t="str">
        <f>CHOOSE(IF(MOD(MATCH(F82,{"א","ב","ג","ד","ה","ו","ש"},0)-G82-1,7)+1&gt;=6,5,MOD(MATCH(F82,{"א","ב","ג","ד","ה","ו","ש"},0)-G82-1,7)+1),"א","ב","ג","ד","ה","ו","ש")</f>
        <v>ה</v>
      </c>
      <c r="I82" s="36"/>
      <c r="J82" s="48" t="s">
        <v>25</v>
      </c>
      <c r="K82" s="47"/>
      <c r="L82" s="47"/>
      <c r="M82" s="47"/>
      <c r="N82" s="54"/>
    </row>
    <row r="83" spans="1:14" x14ac:dyDescent="0.25">
      <c r="A83" s="21">
        <v>210051</v>
      </c>
      <c r="B83" s="40" t="s">
        <v>228</v>
      </c>
      <c r="C83" s="53" t="s">
        <v>63</v>
      </c>
      <c r="D83" s="21" t="s">
        <v>229</v>
      </c>
      <c r="E83" s="21" t="s">
        <v>17</v>
      </c>
      <c r="F83" s="22" t="s">
        <v>18</v>
      </c>
      <c r="G83" s="22">
        <v>2</v>
      </c>
      <c r="H83" s="23" t="str">
        <f>CHOOSE(IF(MOD(MATCH(F83,{"א","ב","ג","ד","ה","ו","ש"},0)-G83-1,7)+1&gt;=6,5,MOD(MATCH(F83,{"א","ב","ג","ד","ה","ו","ש"},0)-G83-1,7)+1),"א","ב","ג","ד","ה","ו","ש")</f>
        <v>ג</v>
      </c>
      <c r="I83" s="36"/>
      <c r="J83" s="48" t="s">
        <v>19</v>
      </c>
      <c r="K83" s="47"/>
      <c r="L83" s="47"/>
      <c r="M83" s="47"/>
      <c r="N83" s="54"/>
    </row>
    <row r="84" spans="1:14" x14ac:dyDescent="0.25">
      <c r="A84" s="18">
        <v>210217</v>
      </c>
      <c r="B84" s="44" t="s">
        <v>230</v>
      </c>
      <c r="C84" s="59" t="s">
        <v>231</v>
      </c>
      <c r="D84" s="18" t="s">
        <v>231</v>
      </c>
      <c r="E84" s="18" t="s">
        <v>120</v>
      </c>
      <c r="F84" s="19" t="s">
        <v>24</v>
      </c>
      <c r="G84" s="19">
        <v>4</v>
      </c>
      <c r="H84" s="20" t="str">
        <f>CHOOSE(IF(MOD(MATCH(F84,{"א","ב","ג","ד","ה","ו","ש"},0)-G84-1,7)+1&gt;=6,5,MOD(MATCH(F84,{"א","ב","ג","ד","ה","ו","ש"},0)-G84-1,7)+1),"א","ב","ג","ד","ה","ו","ש")</f>
        <v>ה</v>
      </c>
      <c r="I84" s="36"/>
      <c r="J84" s="48" t="s">
        <v>73</v>
      </c>
      <c r="K84" s="48" t="s">
        <v>73</v>
      </c>
      <c r="L84" s="47"/>
      <c r="M84" s="48" t="s">
        <v>73</v>
      </c>
      <c r="N84" s="54"/>
    </row>
    <row r="85" spans="1:14" x14ac:dyDescent="0.25">
      <c r="A85" s="21">
        <v>135</v>
      </c>
      <c r="B85" s="40" t="s">
        <v>232</v>
      </c>
      <c r="C85" s="53" t="s">
        <v>84</v>
      </c>
      <c r="D85" s="21" t="s">
        <v>233</v>
      </c>
      <c r="E85" s="21" t="s">
        <v>17</v>
      </c>
      <c r="F85" s="22" t="s">
        <v>18</v>
      </c>
      <c r="G85" s="22">
        <v>2</v>
      </c>
      <c r="H85" s="23" t="str">
        <f>CHOOSE(IF(MOD(MATCH(F85,{"א","ב","ג","ד","ה","ו","ש"},0)-G85-1,7)+1&gt;=6,5,MOD(MATCH(F85,{"א","ב","ג","ד","ה","ו","ש"},0)-G85-1,7)+1),"א","ב","ג","ד","ה","ו","ש")</f>
        <v>ג</v>
      </c>
      <c r="I85" s="36"/>
      <c r="J85" s="48" t="s">
        <v>19</v>
      </c>
      <c r="K85" s="47"/>
      <c r="L85" s="47"/>
      <c r="M85" s="47"/>
      <c r="N85" s="54"/>
    </row>
    <row r="86" spans="1:14" x14ac:dyDescent="0.25">
      <c r="A86" s="21">
        <v>200118</v>
      </c>
      <c r="B86" s="40" t="s">
        <v>234</v>
      </c>
      <c r="C86" s="53" t="s">
        <v>235</v>
      </c>
      <c r="D86" s="21" t="s">
        <v>236</v>
      </c>
      <c r="E86" s="21" t="s">
        <v>17</v>
      </c>
      <c r="F86" s="22" t="s">
        <v>18</v>
      </c>
      <c r="G86" s="22">
        <v>2</v>
      </c>
      <c r="H86" s="23" t="str">
        <f>CHOOSE(IF(MOD(MATCH(F86,{"א","ב","ג","ד","ה","ו","ש"},0)-G86-1,7)+1&gt;=6,5,MOD(MATCH(F86,{"א","ב","ג","ד","ה","ו","ש"},0)-G86-1,7)+1),"א","ב","ג","ד","ה","ו","ש")</f>
        <v>ג</v>
      </c>
      <c r="I86" s="36"/>
      <c r="J86" s="48" t="s">
        <v>19</v>
      </c>
      <c r="K86" s="47"/>
      <c r="L86" s="47"/>
      <c r="M86" s="47"/>
      <c r="N86" s="54"/>
    </row>
    <row r="87" spans="1:14" x14ac:dyDescent="0.25">
      <c r="A87" s="32">
        <v>210123</v>
      </c>
      <c r="B87" s="41" t="s">
        <v>237</v>
      </c>
      <c r="C87" s="55" t="s">
        <v>87</v>
      </c>
      <c r="D87" s="32" t="s">
        <v>238</v>
      </c>
      <c r="E87" s="32" t="s">
        <v>23</v>
      </c>
      <c r="F87" s="33" t="s">
        <v>24</v>
      </c>
      <c r="G87" s="33">
        <v>4</v>
      </c>
      <c r="H87" s="34" t="str">
        <f>CHOOSE(IF(MOD(MATCH(F87,{"א","ב","ג","ד","ה","ו","ש"},0)-G87-1,7)+1&gt;=6,5,MOD(MATCH(F87,{"א","ב","ג","ד","ה","ו","ש"},0)-G87-1,7)+1),"א","ב","ג","ד","ה","ו","ש")</f>
        <v>ה</v>
      </c>
      <c r="I87" s="36"/>
      <c r="J87" s="48" t="s">
        <v>25</v>
      </c>
      <c r="K87" s="47"/>
      <c r="L87" s="47"/>
      <c r="M87" s="47"/>
      <c r="N87" s="54"/>
    </row>
    <row r="88" spans="1:14" x14ac:dyDescent="0.25">
      <c r="A88" s="32">
        <v>2100122</v>
      </c>
      <c r="B88" s="41" t="s">
        <v>239</v>
      </c>
      <c r="C88" s="55" t="s">
        <v>66</v>
      </c>
      <c r="D88" s="32" t="s">
        <v>240</v>
      </c>
      <c r="E88" s="32" t="s">
        <v>23</v>
      </c>
      <c r="F88" s="33" t="s">
        <v>24</v>
      </c>
      <c r="G88" s="33">
        <v>4</v>
      </c>
      <c r="H88" s="34" t="str">
        <f>CHOOSE(IF(MOD(MATCH(F88,{"א","ב","ג","ד","ה","ו","ש"},0)-G88-1,7)+1&gt;=6,5,MOD(MATCH(F88,{"א","ב","ג","ד","ה","ו","ש"},0)-G88-1,7)+1),"א","ב","ג","ד","ה","ו","ש")</f>
        <v>ה</v>
      </c>
      <c r="I88" s="36"/>
      <c r="J88" s="48" t="s">
        <v>25</v>
      </c>
      <c r="K88" s="47"/>
      <c r="L88" s="47"/>
      <c r="M88" s="47"/>
      <c r="N88" s="54"/>
    </row>
    <row r="89" spans="1:14" x14ac:dyDescent="0.25">
      <c r="A89" s="28">
        <v>210215</v>
      </c>
      <c r="B89" s="42" t="s">
        <v>241</v>
      </c>
      <c r="C89" s="57" t="s">
        <v>39</v>
      </c>
      <c r="D89" s="28" t="s">
        <v>242</v>
      </c>
      <c r="E89" s="28" t="s">
        <v>41</v>
      </c>
      <c r="F89" s="29" t="s">
        <v>42</v>
      </c>
      <c r="G89" s="29">
        <v>3</v>
      </c>
      <c r="H89" s="30" t="str">
        <f>CHOOSE(IF(MOD(MATCH(F89,{"א","ב","ג","ד","ה","ו","ש"},0)-G89-1,7)+1&gt;=6,5,MOD(MATCH(F89,{"א","ב","ג","ד","ה","ו","ש"},0)-G89-1,7)+1),"א","ב","ג","ד","ה","ו","ש")</f>
        <v>ה</v>
      </c>
      <c r="I89" s="36"/>
      <c r="J89" s="48" t="s">
        <v>25</v>
      </c>
      <c r="K89" s="48" t="s">
        <v>25</v>
      </c>
      <c r="L89" s="47"/>
      <c r="M89" s="48" t="s">
        <v>25</v>
      </c>
      <c r="N89" s="54"/>
    </row>
    <row r="90" spans="1:14" x14ac:dyDescent="0.25">
      <c r="A90" s="18">
        <v>200130</v>
      </c>
      <c r="B90" s="44" t="s">
        <v>243</v>
      </c>
      <c r="C90" s="59" t="s">
        <v>120</v>
      </c>
      <c r="D90" s="18" t="s">
        <v>244</v>
      </c>
      <c r="E90" s="18" t="s">
        <v>120</v>
      </c>
      <c r="F90" s="19" t="s">
        <v>24</v>
      </c>
      <c r="G90" s="19">
        <v>4</v>
      </c>
      <c r="H90" s="20" t="str">
        <f>CHOOSE(IF(MOD(MATCH(F90,{"א","ב","ג","ד","ה","ו","ש"},0)-G90-1,7)+1&gt;=6,5,MOD(MATCH(F90,{"א","ב","ג","ד","ה","ו","ש"},0)-G90-1,7)+1),"א","ב","ג","ד","ה","ו","ש")</f>
        <v>ה</v>
      </c>
      <c r="I90" s="36"/>
      <c r="J90" s="48" t="s">
        <v>73</v>
      </c>
      <c r="K90" s="48" t="s">
        <v>73</v>
      </c>
      <c r="L90" s="47"/>
      <c r="M90" s="48" t="s">
        <v>73</v>
      </c>
      <c r="N90" s="54"/>
    </row>
    <row r="91" spans="1:14" x14ac:dyDescent="0.25">
      <c r="A91" s="32">
        <v>210113</v>
      </c>
      <c r="B91" s="41" t="s">
        <v>245</v>
      </c>
      <c r="C91" s="55" t="s">
        <v>246</v>
      </c>
      <c r="D91" s="32" t="s">
        <v>247</v>
      </c>
      <c r="E91" s="32" t="s">
        <v>23</v>
      </c>
      <c r="F91" s="33" t="s">
        <v>24</v>
      </c>
      <c r="G91" s="33">
        <v>4</v>
      </c>
      <c r="H91" s="34" t="str">
        <f>CHOOSE(IF(MOD(MATCH(F91,{"א","ב","ג","ד","ה","ו","ש"},0)-G91-1,7)+1&gt;=6,5,MOD(MATCH(F91,{"א","ב","ג","ד","ה","ו","ש"},0)-G91-1,7)+1),"א","ב","ג","ד","ה","ו","ש")</f>
        <v>ה</v>
      </c>
      <c r="I91" s="36"/>
      <c r="J91" s="48" t="s">
        <v>25</v>
      </c>
      <c r="K91" s="47"/>
      <c r="L91" s="47"/>
      <c r="M91" s="47"/>
      <c r="N91" s="54"/>
    </row>
    <row r="92" spans="1:14" x14ac:dyDescent="0.25">
      <c r="A92" s="24">
        <v>210139</v>
      </c>
      <c r="B92" s="40" t="s">
        <v>248</v>
      </c>
      <c r="C92" s="53" t="s">
        <v>249</v>
      </c>
      <c r="D92" s="21" t="s">
        <v>250</v>
      </c>
      <c r="E92" s="21" t="s">
        <v>17</v>
      </c>
      <c r="F92" s="22" t="s">
        <v>18</v>
      </c>
      <c r="G92" s="22">
        <v>2</v>
      </c>
      <c r="H92" s="23" t="str">
        <f>CHOOSE(IF(MOD(MATCH(F92,{"א","ב","ג","ד","ה","ו","ש"},0)-G92-1,7)+1&gt;=6,5,MOD(MATCH(F92,{"א","ב","ג","ד","ה","ו","ש"},0)-G92-1,7)+1),"א","ב","ג","ד","ה","ו","ש")</f>
        <v>ג</v>
      </c>
      <c r="I92" s="36"/>
      <c r="J92" s="48" t="s">
        <v>19</v>
      </c>
      <c r="K92" s="47"/>
      <c r="L92" s="47"/>
      <c r="M92" s="47"/>
      <c r="N92" s="54"/>
    </row>
    <row r="93" spans="1:14" x14ac:dyDescent="0.25">
      <c r="A93" s="24">
        <v>210084</v>
      </c>
      <c r="B93" s="40" t="s">
        <v>251</v>
      </c>
      <c r="C93" s="53" t="s">
        <v>252</v>
      </c>
      <c r="D93" s="21" t="s">
        <v>253</v>
      </c>
      <c r="E93" s="21" t="s">
        <v>17</v>
      </c>
      <c r="F93" s="22" t="s">
        <v>18</v>
      </c>
      <c r="G93" s="22">
        <v>2</v>
      </c>
      <c r="H93" s="23" t="str">
        <f>CHOOSE(IF(MOD(MATCH(F93,{"א","ב","ג","ד","ה","ו","ש"},0)-G93-1,7)+1&gt;=6,5,MOD(MATCH(F93,{"א","ב","ג","ד","ה","ו","ש"},0)-G93-1,7)+1),"א","ב","ג","ד","ה","ו","ש")</f>
        <v>ג</v>
      </c>
      <c r="I93" s="36"/>
      <c r="J93" s="48" t="s">
        <v>19</v>
      </c>
      <c r="K93" s="47"/>
      <c r="L93" s="47"/>
      <c r="M93" s="47"/>
      <c r="N93" s="54"/>
    </row>
    <row r="94" spans="1:14" x14ac:dyDescent="0.25">
      <c r="A94" s="32">
        <v>200121</v>
      </c>
      <c r="B94" s="41" t="s">
        <v>254</v>
      </c>
      <c r="C94" s="55" t="s">
        <v>47</v>
      </c>
      <c r="D94" s="32" t="s">
        <v>255</v>
      </c>
      <c r="E94" s="32" t="s">
        <v>23</v>
      </c>
      <c r="F94" s="33" t="s">
        <v>24</v>
      </c>
      <c r="G94" s="33">
        <v>4</v>
      </c>
      <c r="H94" s="34" t="str">
        <f>CHOOSE(IF(MOD(MATCH(F94,{"א","ב","ג","ד","ה","ו","ש"},0)-G94-1,7)+1&gt;=6,5,MOD(MATCH(F94,{"א","ב","ג","ד","ה","ו","ש"},0)-G94-1,7)+1),"א","ב","ג","ד","ה","ו","ש")</f>
        <v>ה</v>
      </c>
      <c r="I94" s="36"/>
      <c r="J94" s="48" t="s">
        <v>25</v>
      </c>
      <c r="K94" s="47"/>
      <c r="L94" s="47"/>
      <c r="M94" s="47"/>
      <c r="N94" s="54"/>
    </row>
    <row r="95" spans="1:14" x14ac:dyDescent="0.25">
      <c r="A95" s="25">
        <v>210125</v>
      </c>
      <c r="B95" s="43" t="s">
        <v>256</v>
      </c>
      <c r="C95" s="58" t="s">
        <v>257</v>
      </c>
      <c r="D95" s="25" t="s">
        <v>258</v>
      </c>
      <c r="E95" s="25" t="s">
        <v>71</v>
      </c>
      <c r="F95" s="26" t="s">
        <v>72</v>
      </c>
      <c r="G95" s="26">
        <v>2</v>
      </c>
      <c r="H95" s="27" t="str">
        <f>CHOOSE(IF(MOD(MATCH(F95,{"א","ב","ג","ד","ה","ו","ש"},0)-G95-1,7)+1&gt;=6,5,MOD(MATCH(F95,{"א","ב","ג","ד","ה","ו","ש"},0)-G95-1,7)+1),"א","ב","ג","ד","ה","ו","ש")</f>
        <v>א</v>
      </c>
      <c r="I95" s="36"/>
      <c r="J95" s="48" t="s">
        <v>73</v>
      </c>
      <c r="K95" s="47"/>
      <c r="L95" s="47"/>
      <c r="M95" s="47"/>
      <c r="N95" s="54"/>
    </row>
    <row r="96" spans="1:14" x14ac:dyDescent="0.25">
      <c r="A96" s="32">
        <v>157</v>
      </c>
      <c r="B96" s="41" t="s">
        <v>259</v>
      </c>
      <c r="C96" s="55" t="s">
        <v>260</v>
      </c>
      <c r="D96" s="32" t="s">
        <v>261</v>
      </c>
      <c r="E96" s="32" t="s">
        <v>23</v>
      </c>
      <c r="F96" s="33" t="s">
        <v>24</v>
      </c>
      <c r="G96" s="33">
        <v>4</v>
      </c>
      <c r="H96" s="34" t="str">
        <f>CHOOSE(IF(MOD(MATCH(F96,{"א","ב","ג","ד","ה","ו","ש"},0)-G96-1,7)+1&gt;=6,5,MOD(MATCH(F96,{"א","ב","ג","ד","ה","ו","ש"},0)-G96-1,7)+1),"א","ב","ג","ד","ה","ו","ש")</f>
        <v>ה</v>
      </c>
      <c r="I96" s="36"/>
      <c r="J96" s="48" t="s">
        <v>25</v>
      </c>
      <c r="K96" s="47"/>
      <c r="L96" s="47"/>
      <c r="M96" s="47"/>
      <c r="N96" s="54"/>
    </row>
    <row r="97" spans="1:14" x14ac:dyDescent="0.25">
      <c r="A97" s="21">
        <v>210134</v>
      </c>
      <c r="B97" s="40" t="s">
        <v>262</v>
      </c>
      <c r="C97" s="53" t="s">
        <v>263</v>
      </c>
      <c r="D97" s="21" t="s">
        <v>264</v>
      </c>
      <c r="E97" s="21" t="s">
        <v>17</v>
      </c>
      <c r="F97" s="22" t="s">
        <v>18</v>
      </c>
      <c r="G97" s="22">
        <v>2</v>
      </c>
      <c r="H97" s="23" t="str">
        <f>CHOOSE(IF(MOD(MATCH(F97,{"א","ב","ג","ד","ה","ו","ש"},0)-G97-1,7)+1&gt;=6,5,MOD(MATCH(F97,{"א","ב","ג","ד","ה","ו","ש"},0)-G97-1,7)+1),"א","ב","ג","ד","ה","ו","ש")</f>
        <v>ג</v>
      </c>
      <c r="I97" s="36"/>
      <c r="J97" s="48" t="s">
        <v>19</v>
      </c>
      <c r="K97" s="47"/>
      <c r="L97" s="47"/>
      <c r="M97" s="47"/>
      <c r="N97" s="54"/>
    </row>
    <row r="98" spans="1:14" x14ac:dyDescent="0.25">
      <c r="A98" s="32">
        <v>210145</v>
      </c>
      <c r="B98" s="41" t="s">
        <v>265</v>
      </c>
      <c r="C98" s="55" t="s">
        <v>185</v>
      </c>
      <c r="D98" s="32" t="s">
        <v>203</v>
      </c>
      <c r="E98" s="32" t="s">
        <v>23</v>
      </c>
      <c r="F98" s="33" t="s">
        <v>24</v>
      </c>
      <c r="G98" s="33">
        <v>4</v>
      </c>
      <c r="H98" s="34" t="str">
        <f>CHOOSE(IF(MOD(MATCH(F98,{"א","ב","ג","ד","ה","ו","ש"},0)-G98-1,7)+1&gt;=6,5,MOD(MATCH(F98,{"א","ב","ג","ד","ה","ו","ש"},0)-G98-1,7)+1),"א","ב","ג","ד","ה","ו","ש")</f>
        <v>ה</v>
      </c>
      <c r="I98" s="36"/>
      <c r="J98" s="48" t="s">
        <v>25</v>
      </c>
      <c r="K98" s="47"/>
      <c r="L98" s="47"/>
      <c r="M98" s="47"/>
      <c r="N98" s="54"/>
    </row>
    <row r="99" spans="1:14" x14ac:dyDescent="0.25">
      <c r="A99" s="32">
        <v>210147</v>
      </c>
      <c r="B99" s="41" t="s">
        <v>266</v>
      </c>
      <c r="C99" s="55" t="s">
        <v>267</v>
      </c>
      <c r="D99" s="32"/>
      <c r="E99" s="32" t="s">
        <v>23</v>
      </c>
      <c r="F99" s="33" t="s">
        <v>24</v>
      </c>
      <c r="G99" s="33">
        <v>4</v>
      </c>
      <c r="H99" s="34" t="str">
        <f>CHOOSE(IF(MOD(MATCH(F99,{"א","ב","ג","ד","ה","ו","ש"},0)-G99-1,7)+1&gt;=6,5,MOD(MATCH(F99,{"א","ב","ג","ד","ה","ו","ש"},0)-G99-1,7)+1),"א","ב","ג","ד","ה","ו","ש")</f>
        <v>ה</v>
      </c>
      <c r="I99" s="36"/>
      <c r="J99" s="48" t="s">
        <v>25</v>
      </c>
      <c r="K99" s="47"/>
      <c r="L99" s="47"/>
      <c r="M99" s="47"/>
      <c r="N99" s="54"/>
    </row>
    <row r="100" spans="1:14" x14ac:dyDescent="0.25">
      <c r="A100" s="32">
        <v>210117</v>
      </c>
      <c r="B100" s="41" t="s">
        <v>268</v>
      </c>
      <c r="C100" s="55" t="s">
        <v>47</v>
      </c>
      <c r="D100" s="32" t="s">
        <v>269</v>
      </c>
      <c r="E100" s="32" t="s">
        <v>23</v>
      </c>
      <c r="F100" s="33" t="s">
        <v>24</v>
      </c>
      <c r="G100" s="33">
        <v>4</v>
      </c>
      <c r="H100" s="34" t="str">
        <f>CHOOSE(IF(MOD(MATCH(F100,{"א","ב","ג","ד","ה","ו","ש"},0)-G100-1,7)+1&gt;=6,5,MOD(MATCH(F100,{"א","ב","ג","ד","ה","ו","ש"},0)-G100-1,7)+1),"א","ב","ג","ד","ה","ו","ש")</f>
        <v>ה</v>
      </c>
      <c r="I100" s="36"/>
      <c r="J100" s="48" t="s">
        <v>25</v>
      </c>
      <c r="K100" s="47"/>
      <c r="L100" s="47"/>
      <c r="M100" s="47"/>
      <c r="N100" s="54"/>
    </row>
    <row r="101" spans="1:14" x14ac:dyDescent="0.25">
      <c r="A101" s="28">
        <v>210224</v>
      </c>
      <c r="B101" s="42" t="s">
        <v>270</v>
      </c>
      <c r="C101" s="57" t="s">
        <v>39</v>
      </c>
      <c r="D101" s="28" t="s">
        <v>271</v>
      </c>
      <c r="E101" s="28" t="s">
        <v>41</v>
      </c>
      <c r="F101" s="29" t="s">
        <v>42</v>
      </c>
      <c r="G101" s="29">
        <v>3</v>
      </c>
      <c r="H101" s="30" t="str">
        <f>CHOOSE(IF(MOD(MATCH(F101,{"א","ב","ג","ד","ה","ו","ש"},0)-G101-1,7)+1&gt;=6,5,MOD(MATCH(F101,{"א","ב","ג","ד","ה","ו","ש"},0)-G101-1,7)+1),"א","ב","ג","ד","ה","ו","ש")</f>
        <v>ה</v>
      </c>
      <c r="I101" s="36"/>
      <c r="J101" s="48" t="s">
        <v>25</v>
      </c>
      <c r="K101" s="48" t="s">
        <v>25</v>
      </c>
      <c r="L101" s="47"/>
      <c r="M101" s="48" t="s">
        <v>25</v>
      </c>
      <c r="N101" s="54"/>
    </row>
    <row r="102" spans="1:14" x14ac:dyDescent="0.25">
      <c r="A102" s="28">
        <v>210124</v>
      </c>
      <c r="B102" s="42" t="s">
        <v>272</v>
      </c>
      <c r="C102" s="57" t="s">
        <v>39</v>
      </c>
      <c r="D102" s="28" t="s">
        <v>273</v>
      </c>
      <c r="E102" s="28" t="s">
        <v>41</v>
      </c>
      <c r="F102" s="29" t="s">
        <v>42</v>
      </c>
      <c r="G102" s="29">
        <v>3</v>
      </c>
      <c r="H102" s="30" t="str">
        <f>CHOOSE(IF(MOD(MATCH(F102,{"א","ב","ג","ד","ה","ו","ש"},0)-G102-1,7)+1&gt;=6,5,MOD(MATCH(F102,{"א","ב","ג","ד","ה","ו","ש"},0)-G102-1,7)+1),"א","ב","ג","ד","ה","ו","ש")</f>
        <v>ה</v>
      </c>
      <c r="I102" s="36"/>
      <c r="J102" s="48" t="s">
        <v>25</v>
      </c>
      <c r="K102" s="48" t="s">
        <v>25</v>
      </c>
      <c r="L102" s="47"/>
      <c r="M102" s="48" t="s">
        <v>25</v>
      </c>
      <c r="N102" s="54"/>
    </row>
    <row r="103" spans="1:14" x14ac:dyDescent="0.25">
      <c r="A103" s="28">
        <v>200042</v>
      </c>
      <c r="B103" s="42" t="s">
        <v>274</v>
      </c>
      <c r="C103" s="57" t="s">
        <v>275</v>
      </c>
      <c r="D103" s="28" t="s">
        <v>276</v>
      </c>
      <c r="E103" s="28" t="s">
        <v>41</v>
      </c>
      <c r="F103" s="29" t="s">
        <v>42</v>
      </c>
      <c r="G103" s="29">
        <v>3</v>
      </c>
      <c r="H103" s="30" t="str">
        <f>CHOOSE(IF(MOD(MATCH(F103,{"א","ב","ג","ד","ה","ו","ש"},0)-G103-1,7)+1&gt;=6,5,MOD(MATCH(F103,{"א","ב","ג","ד","ה","ו","ש"},0)-G103-1,7)+1),"א","ב","ג","ד","ה","ו","ש")</f>
        <v>ה</v>
      </c>
      <c r="I103" s="37"/>
      <c r="J103" s="49" t="s">
        <v>25</v>
      </c>
      <c r="K103" s="49" t="s">
        <v>25</v>
      </c>
      <c r="L103" s="49" t="s">
        <v>25</v>
      </c>
      <c r="M103" s="49" t="s">
        <v>25</v>
      </c>
      <c r="N103" s="60" t="s">
        <v>25</v>
      </c>
    </row>
    <row r="104" spans="1:14" x14ac:dyDescent="0.25">
      <c r="A104" s="28">
        <v>200040</v>
      </c>
      <c r="B104" s="42" t="s">
        <v>277</v>
      </c>
      <c r="C104" s="57" t="s">
        <v>275</v>
      </c>
      <c r="D104" s="28" t="s">
        <v>278</v>
      </c>
      <c r="E104" s="28" t="s">
        <v>41</v>
      </c>
      <c r="F104" s="29" t="s">
        <v>42</v>
      </c>
      <c r="G104" s="29">
        <v>3</v>
      </c>
      <c r="H104" s="30" t="str">
        <f>CHOOSE(IF(MOD(MATCH(F104,{"א","ב","ג","ד","ה","ו","ש"},0)-G104-1,7)+1&gt;=6,5,MOD(MATCH(F104,{"א","ב","ג","ד","ה","ו","ש"},0)-G104-1,7)+1),"א","ב","ג","ד","ה","ו","ש")</f>
        <v>ה</v>
      </c>
      <c r="I104" s="37"/>
      <c r="J104" s="49" t="s">
        <v>25</v>
      </c>
      <c r="K104" s="49" t="s">
        <v>25</v>
      </c>
      <c r="L104" s="49" t="s">
        <v>25</v>
      </c>
      <c r="M104" s="49" t="s">
        <v>25</v>
      </c>
      <c r="N104" s="60" t="s">
        <v>25</v>
      </c>
    </row>
    <row r="105" spans="1:14" x14ac:dyDescent="0.25">
      <c r="A105" s="28">
        <v>200041</v>
      </c>
      <c r="B105" s="42" t="s">
        <v>279</v>
      </c>
      <c r="C105" s="57" t="s">
        <v>39</v>
      </c>
      <c r="D105" s="28" t="s">
        <v>280</v>
      </c>
      <c r="E105" s="28" t="s">
        <v>41</v>
      </c>
      <c r="F105" s="29" t="s">
        <v>42</v>
      </c>
      <c r="G105" s="29">
        <v>3</v>
      </c>
      <c r="H105" s="30" t="str">
        <f>CHOOSE(IF(MOD(MATCH(F105,{"א","ב","ג","ד","ה","ו","ש"},0)-G105-1,7)+1&gt;=6,5,MOD(MATCH(F105,{"א","ב","ג","ד","ה","ו","ש"},0)-G105-1,7)+1),"א","ב","ג","ד","ה","ו","ש")</f>
        <v>ה</v>
      </c>
      <c r="I105" s="37"/>
      <c r="J105" s="49" t="s">
        <v>25</v>
      </c>
      <c r="K105" s="49" t="s">
        <v>25</v>
      </c>
      <c r="L105" s="49" t="s">
        <v>25</v>
      </c>
      <c r="M105" s="49" t="s">
        <v>25</v>
      </c>
      <c r="N105" s="60" t="s">
        <v>25</v>
      </c>
    </row>
    <row r="106" spans="1:14" x14ac:dyDescent="0.25">
      <c r="A106" s="24">
        <v>200730</v>
      </c>
      <c r="B106" s="40" t="s">
        <v>281</v>
      </c>
      <c r="C106" s="53" t="s">
        <v>105</v>
      </c>
      <c r="D106" s="21" t="s">
        <v>282</v>
      </c>
      <c r="E106" s="21" t="s">
        <v>17</v>
      </c>
      <c r="F106" s="22" t="s">
        <v>18</v>
      </c>
      <c r="G106" s="22">
        <v>2</v>
      </c>
      <c r="H106" s="23" t="str">
        <f>CHOOSE(IF(MOD(MATCH(F106,{"א","ב","ג","ד","ה","ו","ש"},0)-G106-1,7)+1&gt;=6,5,MOD(MATCH(F106,{"א","ב","ג","ד","ה","ו","ש"},0)-G106-1,7)+1),"א","ב","ג","ד","ה","ו","ש")</f>
        <v>ג</v>
      </c>
      <c r="I106" s="36"/>
      <c r="J106" s="48" t="s">
        <v>19</v>
      </c>
      <c r="K106" s="47"/>
      <c r="L106" s="47"/>
      <c r="M106" s="47"/>
      <c r="N106" s="54"/>
    </row>
    <row r="107" spans="1:14" x14ac:dyDescent="0.25">
      <c r="A107" s="21">
        <v>200791</v>
      </c>
      <c r="B107" s="40" t="s">
        <v>283</v>
      </c>
      <c r="C107" s="53" t="s">
        <v>284</v>
      </c>
      <c r="D107" s="21" t="s">
        <v>285</v>
      </c>
      <c r="E107" s="21" t="s">
        <v>17</v>
      </c>
      <c r="F107" s="22" t="s">
        <v>18</v>
      </c>
      <c r="G107" s="22">
        <v>2</v>
      </c>
      <c r="H107" s="23" t="str">
        <f>CHOOSE(IF(MOD(MATCH(F107,{"א","ב","ג","ד","ה","ו","ש"},0)-G107-1,7)+1&gt;=6,5,MOD(MATCH(F107,{"א","ב","ג","ד","ה","ו","ש"},0)-G107-1,7)+1),"א","ב","ג","ד","ה","ו","ש")</f>
        <v>ג</v>
      </c>
      <c r="I107" s="36"/>
      <c r="J107" s="48" t="s">
        <v>19</v>
      </c>
      <c r="K107" s="47"/>
      <c r="L107" s="47"/>
      <c r="M107" s="47"/>
      <c r="N107" s="54"/>
    </row>
    <row r="108" spans="1:14" x14ac:dyDescent="0.25">
      <c r="A108" s="32">
        <v>200961</v>
      </c>
      <c r="B108" s="41" t="s">
        <v>286</v>
      </c>
      <c r="C108" s="55" t="s">
        <v>287</v>
      </c>
      <c r="D108" s="32" t="s">
        <v>288</v>
      </c>
      <c r="E108" s="32" t="s">
        <v>23</v>
      </c>
      <c r="F108" s="33" t="s">
        <v>24</v>
      </c>
      <c r="G108" s="33">
        <v>4</v>
      </c>
      <c r="H108" s="34" t="str">
        <f>CHOOSE(IF(MOD(MATCH(F108,{"א","ב","ג","ד","ה","ו","ש"},0)-G108-1,7)+1&gt;=6,5,MOD(MATCH(F108,{"א","ב","ג","ד","ה","ו","ש"},0)-G108-1,7)+1),"א","ב","ג","ד","ה","ו","ש")</f>
        <v>ה</v>
      </c>
      <c r="I108" s="36"/>
      <c r="J108" s="48" t="s">
        <v>25</v>
      </c>
      <c r="K108" s="47"/>
      <c r="L108" s="47"/>
      <c r="M108" s="47"/>
      <c r="N108" s="54"/>
    </row>
    <row r="109" spans="1:14" x14ac:dyDescent="0.25">
      <c r="A109" s="32">
        <v>1127</v>
      </c>
      <c r="B109" s="41" t="s">
        <v>289</v>
      </c>
      <c r="C109" s="55" t="s">
        <v>290</v>
      </c>
      <c r="D109" s="32" t="s">
        <v>291</v>
      </c>
      <c r="E109" s="32" t="s">
        <v>23</v>
      </c>
      <c r="F109" s="33" t="s">
        <v>24</v>
      </c>
      <c r="G109" s="33">
        <v>4</v>
      </c>
      <c r="H109" s="34" t="str">
        <f>CHOOSE(IF(MOD(MATCH(F109,{"א","ב","ג","ד","ה","ו","ש"},0)-G109-1,7)+1&gt;=6,5,MOD(MATCH(F109,{"א","ב","ג","ד","ה","ו","ש"},0)-G109-1,7)+1),"א","ב","ג","ד","ה","ו","ש")</f>
        <v>ה</v>
      </c>
      <c r="I109" s="36"/>
      <c r="J109" s="48" t="s">
        <v>25</v>
      </c>
      <c r="K109" s="47"/>
      <c r="L109" s="47"/>
      <c r="M109" s="47"/>
      <c r="N109" s="54"/>
    </row>
    <row r="110" spans="1:14" x14ac:dyDescent="0.25">
      <c r="A110" s="32">
        <v>1175</v>
      </c>
      <c r="B110" s="41" t="s">
        <v>292</v>
      </c>
      <c r="C110" s="55" t="s">
        <v>293</v>
      </c>
      <c r="D110" s="32" t="s">
        <v>294</v>
      </c>
      <c r="E110" s="32" t="s">
        <v>23</v>
      </c>
      <c r="F110" s="33" t="s">
        <v>24</v>
      </c>
      <c r="G110" s="33">
        <v>4</v>
      </c>
      <c r="H110" s="34" t="str">
        <f>CHOOSE(IF(MOD(MATCH(F110,{"א","ב","ג","ד","ה","ו","ש"},0)-G110-1,7)+1&gt;=6,5,MOD(MATCH(F110,{"א","ב","ג","ד","ה","ו","ש"},0)-G110-1,7)+1),"א","ב","ג","ד","ה","ו","ש")</f>
        <v>ה</v>
      </c>
      <c r="I110" s="36"/>
      <c r="J110" s="48" t="s">
        <v>25</v>
      </c>
      <c r="K110" s="47"/>
      <c r="L110" s="47"/>
      <c r="M110" s="47"/>
      <c r="N110" s="54"/>
    </row>
    <row r="111" spans="1:14" x14ac:dyDescent="0.25">
      <c r="A111" s="21">
        <v>11109</v>
      </c>
      <c r="B111" s="40" t="s">
        <v>295</v>
      </c>
      <c r="C111" s="53" t="s">
        <v>58</v>
      </c>
      <c r="D111" s="21" t="s">
        <v>296</v>
      </c>
      <c r="E111" s="21" t="s">
        <v>17</v>
      </c>
      <c r="F111" s="22" t="s">
        <v>18</v>
      </c>
      <c r="G111" s="22">
        <v>2</v>
      </c>
      <c r="H111" s="23" t="str">
        <f>CHOOSE(IF(MOD(MATCH(F111,{"א","ב","ג","ד","ה","ו","ש"},0)-G111-1,7)+1&gt;=6,5,MOD(MATCH(F111,{"א","ב","ג","ד","ה","ו","ש"},0)-G111-1,7)+1),"א","ב","ג","ד","ה","ו","ש")</f>
        <v>ג</v>
      </c>
      <c r="I111" s="36"/>
      <c r="J111" s="48" t="s">
        <v>19</v>
      </c>
      <c r="K111" s="47"/>
      <c r="L111" s="47"/>
      <c r="M111" s="47"/>
      <c r="N111" s="54"/>
    </row>
    <row r="112" spans="1:14" x14ac:dyDescent="0.25">
      <c r="A112" s="21">
        <v>181</v>
      </c>
      <c r="B112" s="40" t="s">
        <v>297</v>
      </c>
      <c r="C112" s="53" t="s">
        <v>58</v>
      </c>
      <c r="D112" s="21" t="s">
        <v>298</v>
      </c>
      <c r="E112" s="21" t="s">
        <v>17</v>
      </c>
      <c r="F112" s="22" t="s">
        <v>18</v>
      </c>
      <c r="G112" s="22">
        <v>2</v>
      </c>
      <c r="H112" s="23" t="str">
        <f>CHOOSE(IF(MOD(MATCH(F112,{"א","ב","ג","ד","ה","ו","ש"},0)-G112-1,7)+1&gt;=6,5,MOD(MATCH(F112,{"א","ב","ג","ד","ה","ו","ש"},0)-G112-1,7)+1),"א","ב","ג","ד","ה","ו","ש")</f>
        <v>ג</v>
      </c>
      <c r="I112" s="36"/>
      <c r="J112" s="48" t="s">
        <v>19</v>
      </c>
      <c r="K112" s="47"/>
      <c r="L112" s="47"/>
      <c r="M112" s="47"/>
      <c r="N112" s="54"/>
    </row>
    <row r="113" spans="1:14" x14ac:dyDescent="0.25">
      <c r="A113" s="21">
        <v>11124</v>
      </c>
      <c r="B113" s="40" t="s">
        <v>299</v>
      </c>
      <c r="C113" s="53" t="s">
        <v>33</v>
      </c>
      <c r="D113" s="21" t="s">
        <v>300</v>
      </c>
      <c r="E113" s="21" t="s">
        <v>17</v>
      </c>
      <c r="F113" s="22" t="s">
        <v>18</v>
      </c>
      <c r="G113" s="22">
        <v>2</v>
      </c>
      <c r="H113" s="23" t="str">
        <f>CHOOSE(IF(MOD(MATCH(F113,{"א","ב","ג","ד","ה","ו","ש"},0)-G113-1,7)+1&gt;=6,5,MOD(MATCH(F113,{"א","ב","ג","ד","ה","ו","ש"},0)-G113-1,7)+1),"א","ב","ג","ד","ה","ו","ש")</f>
        <v>ג</v>
      </c>
      <c r="I113" s="36"/>
      <c r="J113" s="48" t="s">
        <v>19</v>
      </c>
      <c r="K113" s="47"/>
      <c r="L113" s="47"/>
      <c r="M113" s="47"/>
      <c r="N113" s="54"/>
    </row>
    <row r="114" spans="1:14" x14ac:dyDescent="0.25">
      <c r="A114" s="21">
        <v>1194</v>
      </c>
      <c r="B114" s="40" t="s">
        <v>301</v>
      </c>
      <c r="C114" s="53" t="s">
        <v>33</v>
      </c>
      <c r="D114" s="21" t="s">
        <v>302</v>
      </c>
      <c r="E114" s="21" t="s">
        <v>17</v>
      </c>
      <c r="F114" s="22" t="s">
        <v>18</v>
      </c>
      <c r="G114" s="22">
        <v>2</v>
      </c>
      <c r="H114" s="23" t="str">
        <f>CHOOSE(IF(MOD(MATCH(F114,{"א","ב","ג","ד","ה","ו","ש"},0)-G114-1,7)+1&gt;=6,5,MOD(MATCH(F114,{"א","ב","ג","ד","ה","ו","ש"},0)-G114-1,7)+1),"א","ב","ג","ד","ה","ו","ש")</f>
        <v>ג</v>
      </c>
      <c r="I114" s="36"/>
      <c r="J114" s="48" t="s">
        <v>19</v>
      </c>
      <c r="K114" s="47"/>
      <c r="L114" s="47"/>
      <c r="M114" s="47"/>
      <c r="N114" s="54"/>
    </row>
    <row r="115" spans="1:14" x14ac:dyDescent="0.25">
      <c r="A115" s="21">
        <v>11105</v>
      </c>
      <c r="B115" s="40" t="s">
        <v>303</v>
      </c>
      <c r="C115" s="53" t="s">
        <v>63</v>
      </c>
      <c r="D115" s="21" t="s">
        <v>304</v>
      </c>
      <c r="E115" s="21" t="s">
        <v>17</v>
      </c>
      <c r="F115" s="22" t="s">
        <v>18</v>
      </c>
      <c r="G115" s="22">
        <v>2</v>
      </c>
      <c r="H115" s="23" t="str">
        <f>CHOOSE(IF(MOD(MATCH(F115,{"א","ב","ג","ד","ה","ו","ש"},0)-G115-1,7)+1&gt;=6,5,MOD(MATCH(F115,{"א","ב","ג","ד","ה","ו","ש"},0)-G115-1,7)+1),"א","ב","ג","ד","ה","ו","ש")</f>
        <v>ג</v>
      </c>
      <c r="I115" s="36"/>
      <c r="J115" s="48" t="s">
        <v>19</v>
      </c>
      <c r="K115" s="47"/>
      <c r="L115" s="47"/>
      <c r="M115" s="47"/>
      <c r="N115" s="54"/>
    </row>
    <row r="116" spans="1:14" x14ac:dyDescent="0.25">
      <c r="A116" s="32">
        <v>1184</v>
      </c>
      <c r="B116" s="41" t="s">
        <v>305</v>
      </c>
      <c r="C116" s="55" t="s">
        <v>226</v>
      </c>
      <c r="D116" s="32" t="s">
        <v>306</v>
      </c>
      <c r="E116" s="32" t="s">
        <v>23</v>
      </c>
      <c r="F116" s="33" t="s">
        <v>24</v>
      </c>
      <c r="G116" s="33">
        <v>4</v>
      </c>
      <c r="H116" s="34" t="str">
        <f>CHOOSE(IF(MOD(MATCH(F116,{"א","ב","ג","ד","ה","ו","ש"},0)-G116-1,7)+1&gt;=6,5,MOD(MATCH(F116,{"א","ב","ג","ד","ה","ו","ש"},0)-G116-1,7)+1),"א","ב","ג","ד","ה","ו","ש")</f>
        <v>ה</v>
      </c>
      <c r="I116" s="36"/>
      <c r="J116" s="48" t="s">
        <v>25</v>
      </c>
      <c r="K116" s="47"/>
      <c r="L116" s="47"/>
      <c r="M116" s="47"/>
      <c r="N116" s="54"/>
    </row>
    <row r="117" spans="1:14" x14ac:dyDescent="0.25">
      <c r="A117" s="32">
        <v>11103</v>
      </c>
      <c r="B117" s="41" t="s">
        <v>307</v>
      </c>
      <c r="C117" s="55" t="s">
        <v>75</v>
      </c>
      <c r="D117" s="32" t="s">
        <v>308</v>
      </c>
      <c r="E117" s="32" t="s">
        <v>23</v>
      </c>
      <c r="F117" s="33" t="s">
        <v>24</v>
      </c>
      <c r="G117" s="33">
        <v>4</v>
      </c>
      <c r="H117" s="34" t="str">
        <f>CHOOSE(IF(MOD(MATCH(F117,{"א","ב","ג","ד","ה","ו","ש"},0)-G117-1,7)+1&gt;=6,5,MOD(MATCH(F117,{"א","ב","ג","ד","ה","ו","ש"},0)-G117-1,7)+1),"א","ב","ג","ד","ה","ו","ש")</f>
        <v>ה</v>
      </c>
      <c r="I117" s="36"/>
      <c r="J117" s="48" t="s">
        <v>25</v>
      </c>
      <c r="K117" s="47"/>
      <c r="L117" s="47"/>
      <c r="M117" s="47"/>
      <c r="N117" s="54"/>
    </row>
    <row r="118" spans="1:14" x14ac:dyDescent="0.25">
      <c r="A118" s="28">
        <v>1148</v>
      </c>
      <c r="B118" s="42" t="s">
        <v>309</v>
      </c>
      <c r="C118" s="57" t="s">
        <v>78</v>
      </c>
      <c r="D118" s="28" t="s">
        <v>310</v>
      </c>
      <c r="E118" s="28" t="s">
        <v>41</v>
      </c>
      <c r="F118" s="29" t="s">
        <v>42</v>
      </c>
      <c r="G118" s="29">
        <v>3</v>
      </c>
      <c r="H118" s="30" t="str">
        <f>CHOOSE(IF(MOD(MATCH(F118,{"א","ב","ג","ד","ה","ו","ש"},0)-G118-1,7)+1&gt;=6,5,MOD(MATCH(F118,{"א","ב","ג","ד","ה","ו","ש"},0)-G118-1,7)+1),"א","ב","ג","ד","ה","ו","ש")</f>
        <v>ה</v>
      </c>
      <c r="I118" s="36"/>
      <c r="J118" s="48" t="s">
        <v>73</v>
      </c>
      <c r="K118" s="48" t="s">
        <v>73</v>
      </c>
      <c r="L118" s="47"/>
      <c r="M118" s="48" t="s">
        <v>73</v>
      </c>
      <c r="N118" s="54"/>
    </row>
    <row r="119" spans="1:14" x14ac:dyDescent="0.25">
      <c r="A119" s="32">
        <v>1190</v>
      </c>
      <c r="B119" s="41" t="s">
        <v>311</v>
      </c>
      <c r="C119" s="55" t="s">
        <v>117</v>
      </c>
      <c r="D119" s="32" t="s">
        <v>312</v>
      </c>
      <c r="E119" s="32" t="s">
        <v>23</v>
      </c>
      <c r="F119" s="33" t="s">
        <v>24</v>
      </c>
      <c r="G119" s="33">
        <v>4</v>
      </c>
      <c r="H119" s="34" t="str">
        <f>CHOOSE(IF(MOD(MATCH(F119,{"א","ב","ג","ד","ה","ו","ש"},0)-G119-1,7)+1&gt;=6,5,MOD(MATCH(F119,{"א","ב","ג","ד","ה","ו","ש"},0)-G119-1,7)+1),"א","ב","ג","ד","ה","ו","ש")</f>
        <v>ה</v>
      </c>
      <c r="I119" s="36"/>
      <c r="J119" s="48" t="s">
        <v>25</v>
      </c>
      <c r="K119" s="47"/>
      <c r="L119" s="47"/>
      <c r="M119" s="47"/>
      <c r="N119" s="54"/>
    </row>
    <row r="120" spans="1:14" x14ac:dyDescent="0.25">
      <c r="A120" s="25">
        <v>1179</v>
      </c>
      <c r="B120" s="43" t="s">
        <v>313</v>
      </c>
      <c r="C120" s="58" t="s">
        <v>314</v>
      </c>
      <c r="D120" s="25" t="s">
        <v>315</v>
      </c>
      <c r="E120" s="25" t="s">
        <v>71</v>
      </c>
      <c r="F120" s="26" t="s">
        <v>72</v>
      </c>
      <c r="G120" s="26">
        <v>2</v>
      </c>
      <c r="H120" s="27" t="str">
        <f>CHOOSE(IF(MOD(MATCH(F120,{"א","ב","ג","ד","ה","ו","ש"},0)-G120-1,7)+1&gt;=6,5,MOD(MATCH(F120,{"א","ב","ג","ד","ה","ו","ש"},0)-G120-1,7)+1),"א","ב","ג","ד","ה","ו","ש")</f>
        <v>א</v>
      </c>
      <c r="I120" s="36"/>
      <c r="J120" s="48" t="s">
        <v>73</v>
      </c>
      <c r="K120" s="47"/>
      <c r="L120" s="47"/>
      <c r="M120" s="47"/>
      <c r="N120" s="54"/>
    </row>
    <row r="121" spans="1:14" x14ac:dyDescent="0.25">
      <c r="A121" s="32">
        <v>1164</v>
      </c>
      <c r="B121" s="41" t="s">
        <v>316</v>
      </c>
      <c r="C121" s="55" t="s">
        <v>87</v>
      </c>
      <c r="D121" s="32" t="s">
        <v>317</v>
      </c>
      <c r="E121" s="32" t="s">
        <v>23</v>
      </c>
      <c r="F121" s="33" t="s">
        <v>24</v>
      </c>
      <c r="G121" s="33">
        <v>4</v>
      </c>
      <c r="H121" s="34" t="str">
        <f>CHOOSE(IF(MOD(MATCH(F121,{"א","ב","ג","ד","ה","ו","ש"},0)-G121-1,7)+1&gt;=6,5,MOD(MATCH(F121,{"א","ב","ג","ד","ה","ו","ש"},0)-G121-1,7)+1),"א","ב","ג","ד","ה","ו","ש")</f>
        <v>ה</v>
      </c>
      <c r="I121" s="36"/>
      <c r="J121" s="48" t="s">
        <v>25</v>
      </c>
      <c r="K121" s="47"/>
      <c r="L121" s="47"/>
      <c r="M121" s="47"/>
      <c r="N121" s="54"/>
    </row>
    <row r="122" spans="1:14" x14ac:dyDescent="0.25">
      <c r="A122" s="28">
        <v>1112</v>
      </c>
      <c r="B122" s="42" t="s">
        <v>318</v>
      </c>
      <c r="C122" s="57" t="s">
        <v>39</v>
      </c>
      <c r="D122" s="28" t="s">
        <v>319</v>
      </c>
      <c r="E122" s="28" t="s">
        <v>41</v>
      </c>
      <c r="F122" s="29" t="s">
        <v>42</v>
      </c>
      <c r="G122" s="29">
        <v>3</v>
      </c>
      <c r="H122" s="30" t="str">
        <f>CHOOSE(IF(MOD(MATCH(F122,{"א","ב","ג","ד","ה","ו","ש"},0)-G122-1,7)+1&gt;=6,5,MOD(MATCH(F122,{"א","ב","ג","ד","ה","ו","ש"},0)-G122-1,7)+1),"א","ב","ג","ד","ה","ו","ש")</f>
        <v>ה</v>
      </c>
      <c r="I122" s="36"/>
      <c r="J122" s="48" t="s">
        <v>73</v>
      </c>
      <c r="K122" s="48" t="s">
        <v>73</v>
      </c>
      <c r="L122" s="47"/>
      <c r="M122" s="48" t="s">
        <v>73</v>
      </c>
      <c r="N122" s="54"/>
    </row>
    <row r="123" spans="1:14" x14ac:dyDescent="0.25">
      <c r="A123" s="28">
        <v>11129</v>
      </c>
      <c r="B123" s="42" t="s">
        <v>320</v>
      </c>
      <c r="C123" s="57" t="s">
        <v>39</v>
      </c>
      <c r="D123" s="28" t="s">
        <v>321</v>
      </c>
      <c r="E123" s="28" t="s">
        <v>41</v>
      </c>
      <c r="F123" s="29" t="s">
        <v>42</v>
      </c>
      <c r="G123" s="29">
        <v>3</v>
      </c>
      <c r="H123" s="30" t="str">
        <f>CHOOSE(IF(MOD(MATCH(F123,{"א","ב","ג","ד","ה","ו","ש"},0)-G123-1,7)+1&gt;=6,5,MOD(MATCH(F123,{"א","ב","ג","ד","ה","ו","ש"},0)-G123-1,7)+1),"א","ב","ג","ד","ה","ו","ש")</f>
        <v>ה</v>
      </c>
      <c r="I123" s="36"/>
      <c r="J123" s="48" t="s">
        <v>73</v>
      </c>
      <c r="K123" s="48" t="s">
        <v>73</v>
      </c>
      <c r="L123" s="47"/>
      <c r="M123" s="48" t="s">
        <v>73</v>
      </c>
      <c r="N123" s="54"/>
    </row>
    <row r="124" spans="1:14" x14ac:dyDescent="0.25">
      <c r="A124" s="25">
        <v>11118</v>
      </c>
      <c r="B124" s="43" t="s">
        <v>322</v>
      </c>
      <c r="C124" s="58" t="s">
        <v>323</v>
      </c>
      <c r="D124" s="25" t="s">
        <v>323</v>
      </c>
      <c r="E124" s="25" t="s">
        <v>71</v>
      </c>
      <c r="F124" s="26" t="s">
        <v>72</v>
      </c>
      <c r="G124" s="26">
        <v>2</v>
      </c>
      <c r="H124" s="27" t="str">
        <f>CHOOSE(IF(MOD(MATCH(F124,{"א","ב","ג","ד","ה","ו","ש"},0)-G124-1,7)+1&gt;=6,5,MOD(MATCH(F124,{"א","ב","ג","ד","ה","ו","ש"},0)-G124-1,7)+1),"א","ב","ג","ד","ה","ו","ש")</f>
        <v>א</v>
      </c>
      <c r="I124" s="36"/>
      <c r="J124" s="48" t="s">
        <v>73</v>
      </c>
      <c r="K124" s="47"/>
      <c r="L124" s="47"/>
      <c r="M124" s="47"/>
      <c r="N124" s="54"/>
    </row>
    <row r="125" spans="1:14" x14ac:dyDescent="0.25">
      <c r="A125" s="35">
        <v>1735</v>
      </c>
      <c r="B125" s="45" t="s">
        <v>324</v>
      </c>
      <c r="C125" s="61" t="s">
        <v>325</v>
      </c>
      <c r="D125" s="35" t="s">
        <v>326</v>
      </c>
      <c r="E125" s="35" t="s">
        <v>23</v>
      </c>
      <c r="F125" s="33" t="s">
        <v>24</v>
      </c>
      <c r="G125" s="33">
        <v>4</v>
      </c>
      <c r="H125" s="34" t="str">
        <f>CHOOSE(IF(MOD(MATCH(F125,{"א","ב","ג","ד","ה","ו","ש"},0)-G125-1,7)+1&gt;=6,5,MOD(MATCH(F125,{"א","ב","ג","ד","ה","ו","ש"},0)-G125-1,7)+1),"א","ב","ג","ד","ה","ו","ש")</f>
        <v>ה</v>
      </c>
      <c r="I125" s="36"/>
      <c r="J125" s="48" t="s">
        <v>25</v>
      </c>
      <c r="K125" s="47"/>
      <c r="L125" s="47"/>
      <c r="M125" s="47"/>
      <c r="N125" s="54"/>
    </row>
    <row r="126" spans="1:14" x14ac:dyDescent="0.25">
      <c r="A126" s="28">
        <v>1163</v>
      </c>
      <c r="B126" s="42" t="s">
        <v>327</v>
      </c>
      <c r="C126" s="57" t="s">
        <v>39</v>
      </c>
      <c r="D126" s="28" t="s">
        <v>328</v>
      </c>
      <c r="E126" s="28" t="s">
        <v>41</v>
      </c>
      <c r="F126" s="29" t="s">
        <v>42</v>
      </c>
      <c r="G126" s="29">
        <v>3</v>
      </c>
      <c r="H126" s="30" t="str">
        <f>CHOOSE(IF(MOD(MATCH(F126,{"א","ב","ג","ד","ה","ו","ש"},0)-G126-1,7)+1&gt;=6,5,MOD(MATCH(F126,{"א","ב","ג","ד","ה","ו","ש"},0)-G126-1,7)+1),"א","ב","ג","ד","ה","ו","ש")</f>
        <v>ה</v>
      </c>
      <c r="I126" s="36"/>
      <c r="J126" s="48" t="s">
        <v>73</v>
      </c>
      <c r="K126" s="48" t="s">
        <v>73</v>
      </c>
      <c r="L126" s="47"/>
      <c r="M126" s="48" t="s">
        <v>73</v>
      </c>
      <c r="N126" s="54"/>
    </row>
    <row r="127" spans="1:14" x14ac:dyDescent="0.25">
      <c r="A127" s="32">
        <v>11123</v>
      </c>
      <c r="B127" s="41" t="s">
        <v>329</v>
      </c>
      <c r="C127" s="55" t="s">
        <v>50</v>
      </c>
      <c r="D127" s="32" t="s">
        <v>330</v>
      </c>
      <c r="E127" s="32" t="s">
        <v>23</v>
      </c>
      <c r="F127" s="33" t="s">
        <v>24</v>
      </c>
      <c r="G127" s="33">
        <v>4</v>
      </c>
      <c r="H127" s="34" t="str">
        <f>CHOOSE(IF(MOD(MATCH(F127,{"א","ב","ג","ד","ה","ו","ש"},0)-G127-1,7)+1&gt;=6,5,MOD(MATCH(F127,{"א","ב","ג","ד","ה","ו","ש"},0)-G127-1,7)+1),"א","ב","ג","ד","ה","ו","ש")</f>
        <v>ה</v>
      </c>
      <c r="I127" s="36"/>
      <c r="J127" s="48" t="s">
        <v>25</v>
      </c>
      <c r="K127" s="47"/>
      <c r="L127" s="47"/>
      <c r="M127" s="47"/>
      <c r="N127" s="54"/>
    </row>
    <row r="128" spans="1:14" x14ac:dyDescent="0.25">
      <c r="A128" s="28">
        <v>1173</v>
      </c>
      <c r="B128" s="42" t="s">
        <v>331</v>
      </c>
      <c r="C128" s="57" t="s">
        <v>332</v>
      </c>
      <c r="D128" s="28" t="s">
        <v>333</v>
      </c>
      <c r="E128" s="28" t="s">
        <v>41</v>
      </c>
      <c r="F128" s="29" t="s">
        <v>42</v>
      </c>
      <c r="G128" s="29">
        <v>3</v>
      </c>
      <c r="H128" s="30" t="str">
        <f>CHOOSE(IF(MOD(MATCH(F128,{"א","ב","ג","ד","ה","ו","ש"},0)-G128-1,7)+1&gt;=6,5,MOD(MATCH(F128,{"א","ב","ג","ד","ה","ו","ש"},0)-G128-1,7)+1),"א","ב","ג","ד","ה","ו","ש")</f>
        <v>ה</v>
      </c>
      <c r="I128" s="36"/>
      <c r="J128" s="48" t="s">
        <v>73</v>
      </c>
      <c r="K128" s="48" t="s">
        <v>73</v>
      </c>
      <c r="L128" s="47"/>
      <c r="M128" s="48" t="s">
        <v>73</v>
      </c>
      <c r="N128" s="54"/>
    </row>
    <row r="129" spans="1:14" x14ac:dyDescent="0.25">
      <c r="A129" s="32">
        <v>11614</v>
      </c>
      <c r="B129" s="41" t="s">
        <v>334</v>
      </c>
      <c r="C129" s="55" t="s">
        <v>50</v>
      </c>
      <c r="D129" s="32" t="s">
        <v>335</v>
      </c>
      <c r="E129" s="32" t="s">
        <v>23</v>
      </c>
      <c r="F129" s="33" t="s">
        <v>24</v>
      </c>
      <c r="G129" s="33">
        <v>4</v>
      </c>
      <c r="H129" s="34" t="str">
        <f>CHOOSE(IF(MOD(MATCH(F129,{"א","ב","ג","ד","ה","ו","ש"},0)-G129-1,7)+1&gt;=6,5,MOD(MATCH(F129,{"א","ב","ג","ד","ה","ו","ש"},0)-G129-1,7)+1),"א","ב","ג","ד","ה","ו","ש")</f>
        <v>ה</v>
      </c>
      <c r="I129" s="36"/>
      <c r="J129" s="48" t="s">
        <v>25</v>
      </c>
      <c r="K129" s="47"/>
      <c r="L129" s="47"/>
      <c r="M129" s="47"/>
      <c r="N129" s="54"/>
    </row>
    <row r="130" spans="1:14" x14ac:dyDescent="0.25">
      <c r="A130" s="32">
        <v>11116</v>
      </c>
      <c r="B130" s="41" t="s">
        <v>336</v>
      </c>
      <c r="C130" s="55" t="s">
        <v>44</v>
      </c>
      <c r="D130" s="32" t="s">
        <v>337</v>
      </c>
      <c r="E130" s="32" t="s">
        <v>23</v>
      </c>
      <c r="F130" s="33" t="s">
        <v>24</v>
      </c>
      <c r="G130" s="33">
        <v>4</v>
      </c>
      <c r="H130" s="34" t="str">
        <f>CHOOSE(IF(MOD(MATCH(F130,{"א","ב","ג","ד","ה","ו","ש"},0)-G130-1,7)+1&gt;=6,5,MOD(MATCH(F130,{"א","ב","ג","ד","ה","ו","ש"},0)-G130-1,7)+1),"א","ב","ג","ד","ה","ו","ש")</f>
        <v>ה</v>
      </c>
      <c r="I130" s="36"/>
      <c r="J130" s="48" t="s">
        <v>25</v>
      </c>
      <c r="K130" s="47"/>
      <c r="L130" s="47"/>
      <c r="M130" s="47"/>
      <c r="N130" s="54"/>
    </row>
    <row r="131" spans="1:14" x14ac:dyDescent="0.25">
      <c r="A131" s="32">
        <v>1114</v>
      </c>
      <c r="B131" s="41" t="s">
        <v>338</v>
      </c>
      <c r="C131" s="55" t="s">
        <v>27</v>
      </c>
      <c r="D131" s="32" t="s">
        <v>339</v>
      </c>
      <c r="E131" s="32" t="s">
        <v>23</v>
      </c>
      <c r="F131" s="33" t="s">
        <v>24</v>
      </c>
      <c r="G131" s="33">
        <v>4</v>
      </c>
      <c r="H131" s="34" t="str">
        <f>CHOOSE(IF(MOD(MATCH(F131,{"א","ב","ג","ד","ה","ו","ש"},0)-G131-1,7)+1&gt;=6,5,MOD(MATCH(F131,{"א","ב","ג","ד","ה","ו","ש"},0)-G131-1,7)+1),"א","ב","ג","ד","ה","ו","ש")</f>
        <v>ה</v>
      </c>
      <c r="I131" s="36"/>
      <c r="J131" s="48" t="s">
        <v>25</v>
      </c>
      <c r="K131" s="47"/>
      <c r="L131" s="47"/>
      <c r="M131" s="47"/>
      <c r="N131" s="54"/>
    </row>
    <row r="132" spans="1:14" x14ac:dyDescent="0.25">
      <c r="A132" s="32">
        <v>1185</v>
      </c>
      <c r="B132" s="41" t="s">
        <v>340</v>
      </c>
      <c r="C132" s="55" t="s">
        <v>53</v>
      </c>
      <c r="D132" s="32" t="s">
        <v>341</v>
      </c>
      <c r="E132" s="32" t="s">
        <v>23</v>
      </c>
      <c r="F132" s="33" t="s">
        <v>24</v>
      </c>
      <c r="G132" s="33">
        <v>4</v>
      </c>
      <c r="H132" s="34" t="str">
        <f>CHOOSE(IF(MOD(MATCH(F132,{"א","ב","ג","ד","ה","ו","ש"},0)-G132-1,7)+1&gt;=6,5,MOD(MATCH(F132,{"א","ב","ג","ד","ה","ו","ש"},0)-G132-1,7)+1),"א","ב","ג","ד","ה","ו","ש")</f>
        <v>ה</v>
      </c>
      <c r="I132" s="36"/>
      <c r="J132" s="48" t="s">
        <v>25</v>
      </c>
      <c r="K132" s="47"/>
      <c r="L132" s="47"/>
      <c r="M132" s="47"/>
      <c r="N132" s="54"/>
    </row>
    <row r="133" spans="1:14" x14ac:dyDescent="0.25">
      <c r="A133" s="28">
        <v>1193</v>
      </c>
      <c r="B133" s="42" t="s">
        <v>342</v>
      </c>
      <c r="C133" s="57" t="s">
        <v>343</v>
      </c>
      <c r="D133" s="28" t="s">
        <v>344</v>
      </c>
      <c r="E133" s="28" t="s">
        <v>41</v>
      </c>
      <c r="F133" s="29" t="s">
        <v>42</v>
      </c>
      <c r="G133" s="29">
        <v>3</v>
      </c>
      <c r="H133" s="30" t="str">
        <f>CHOOSE(IF(MOD(MATCH(F133,{"א","ב","ג","ד","ה","ו","ש"},0)-G133-1,7)+1&gt;=6,5,MOD(MATCH(F133,{"א","ב","ג","ד","ה","ו","ש"},0)-G133-1,7)+1),"א","ב","ג","ד","ה","ו","ש")</f>
        <v>ה</v>
      </c>
      <c r="I133" s="36"/>
      <c r="J133" s="48" t="s">
        <v>73</v>
      </c>
      <c r="K133" s="48" t="s">
        <v>73</v>
      </c>
      <c r="L133" s="47"/>
      <c r="M133" s="48" t="s">
        <v>73</v>
      </c>
      <c r="N133" s="54"/>
    </row>
    <row r="134" spans="1:14" x14ac:dyDescent="0.25">
      <c r="A134" s="32">
        <v>1178</v>
      </c>
      <c r="B134" s="41" t="s">
        <v>345</v>
      </c>
      <c r="C134" s="55" t="s">
        <v>27</v>
      </c>
      <c r="D134" s="32" t="s">
        <v>346</v>
      </c>
      <c r="E134" s="32" t="s">
        <v>23</v>
      </c>
      <c r="F134" s="33" t="s">
        <v>24</v>
      </c>
      <c r="G134" s="33">
        <v>4</v>
      </c>
      <c r="H134" s="34" t="str">
        <f>CHOOSE(IF(MOD(MATCH(F134,{"א","ב","ג","ד","ה","ו","ש"},0)-G134-1,7)+1&gt;=6,5,MOD(MATCH(F134,{"א","ב","ג","ד","ה","ו","ש"},0)-G134-1,7)+1),"א","ב","ג","ד","ה","ו","ש")</f>
        <v>ה</v>
      </c>
      <c r="I134" s="36"/>
      <c r="J134" s="48" t="s">
        <v>25</v>
      </c>
      <c r="K134" s="47"/>
      <c r="L134" s="47"/>
      <c r="M134" s="47"/>
      <c r="N134" s="54"/>
    </row>
    <row r="135" spans="1:14" x14ac:dyDescent="0.25">
      <c r="A135" s="32">
        <v>1168</v>
      </c>
      <c r="B135" s="41" t="s">
        <v>347</v>
      </c>
      <c r="C135" s="55" t="s">
        <v>53</v>
      </c>
      <c r="D135" s="32" t="s">
        <v>348</v>
      </c>
      <c r="E135" s="32" t="s">
        <v>23</v>
      </c>
      <c r="F135" s="33" t="s">
        <v>24</v>
      </c>
      <c r="G135" s="33">
        <v>4</v>
      </c>
      <c r="H135" s="34" t="str">
        <f>CHOOSE(IF(MOD(MATCH(F135,{"א","ב","ג","ד","ה","ו","ש"},0)-G135-1,7)+1&gt;=6,5,MOD(MATCH(F135,{"א","ב","ג","ד","ה","ו","ש"},0)-G135-1,7)+1),"א","ב","ג","ד","ה","ו","ש")</f>
        <v>ה</v>
      </c>
      <c r="I135" s="36"/>
      <c r="J135" s="48" t="s">
        <v>25</v>
      </c>
      <c r="K135" s="47"/>
      <c r="L135" s="47"/>
      <c r="M135" s="47"/>
      <c r="N135" s="54"/>
    </row>
    <row r="136" spans="1:14" x14ac:dyDescent="0.25">
      <c r="A136" s="21">
        <v>1150</v>
      </c>
      <c r="B136" s="40" t="s">
        <v>349</v>
      </c>
      <c r="C136" s="53" t="s">
        <v>263</v>
      </c>
      <c r="D136" s="21" t="s">
        <v>350</v>
      </c>
      <c r="E136" s="21" t="s">
        <v>17</v>
      </c>
      <c r="F136" s="22" t="s">
        <v>18</v>
      </c>
      <c r="G136" s="22">
        <v>2</v>
      </c>
      <c r="H136" s="23" t="str">
        <f>CHOOSE(IF(MOD(MATCH(F136,{"א","ב","ג","ד","ה","ו","ש"},0)-G136-1,7)+1&gt;=6,5,MOD(MATCH(F136,{"א","ב","ג","ד","ה","ו","ש"},0)-G136-1,7)+1),"א","ב","ג","ד","ה","ו","ש")</f>
        <v>ג</v>
      </c>
      <c r="I136" s="36"/>
      <c r="J136" s="48" t="s">
        <v>19</v>
      </c>
      <c r="K136" s="47"/>
      <c r="L136" s="47"/>
      <c r="M136" s="47"/>
      <c r="N136" s="54"/>
    </row>
    <row r="137" spans="1:14" x14ac:dyDescent="0.25">
      <c r="A137" s="24">
        <v>1174</v>
      </c>
      <c r="B137" s="40" t="s">
        <v>351</v>
      </c>
      <c r="C137" s="53" t="s">
        <v>252</v>
      </c>
      <c r="D137" s="21" t="s">
        <v>352</v>
      </c>
      <c r="E137" s="21" t="s">
        <v>17</v>
      </c>
      <c r="F137" s="22" t="s">
        <v>18</v>
      </c>
      <c r="G137" s="22">
        <v>2</v>
      </c>
      <c r="H137" s="23" t="str">
        <f>CHOOSE(IF(MOD(MATCH(F137,{"א","ב","ג","ד","ה","ו","ש"},0)-G137-1,7)+1&gt;=6,5,MOD(MATCH(F137,{"א","ב","ג","ד","ה","ו","ש"},0)-G137-1,7)+1),"א","ב","ג","ד","ה","ו","ש")</f>
        <v>ג</v>
      </c>
      <c r="I137" s="36"/>
      <c r="J137" s="48" t="s">
        <v>19</v>
      </c>
      <c r="K137" s="47"/>
      <c r="L137" s="47"/>
      <c r="M137" s="47"/>
      <c r="N137" s="54"/>
    </row>
    <row r="138" spans="1:14" x14ac:dyDescent="0.25">
      <c r="A138" s="18">
        <v>11121</v>
      </c>
      <c r="B138" s="44" t="s">
        <v>353</v>
      </c>
      <c r="C138" s="59" t="s">
        <v>120</v>
      </c>
      <c r="D138" s="18" t="s">
        <v>354</v>
      </c>
      <c r="E138" s="18" t="s">
        <v>120</v>
      </c>
      <c r="F138" s="19" t="s">
        <v>24</v>
      </c>
      <c r="G138" s="19">
        <v>4</v>
      </c>
      <c r="H138" s="20" t="str">
        <f>CHOOSE(IF(MOD(MATCH(F138,{"א","ב","ג","ד","ה","ו","ש"},0)-G138-1,7)+1&gt;=6,5,MOD(MATCH(F138,{"א","ב","ג","ד","ה","ו","ש"},0)-G138-1,7)+1),"א","ב","ג","ד","ה","ו","ש")</f>
        <v>ה</v>
      </c>
      <c r="I138" s="36"/>
      <c r="J138" s="48" t="s">
        <v>73</v>
      </c>
      <c r="K138" s="48" t="s">
        <v>73</v>
      </c>
      <c r="L138" s="47"/>
      <c r="M138" s="48" t="s">
        <v>73</v>
      </c>
      <c r="N138" s="54"/>
    </row>
    <row r="139" spans="1:14" x14ac:dyDescent="0.25">
      <c r="A139" s="32">
        <v>1196</v>
      </c>
      <c r="B139" s="41" t="s">
        <v>355</v>
      </c>
      <c r="C139" s="55" t="s">
        <v>47</v>
      </c>
      <c r="D139" s="32" t="s">
        <v>356</v>
      </c>
      <c r="E139" s="32" t="s">
        <v>23</v>
      </c>
      <c r="F139" s="33" t="s">
        <v>24</v>
      </c>
      <c r="G139" s="33">
        <v>4</v>
      </c>
      <c r="H139" s="34" t="str">
        <f>CHOOSE(IF(MOD(MATCH(F139,{"א","ב","ג","ד","ה","ו","ש"},0)-G139-1,7)+1&gt;=6,5,MOD(MATCH(F139,{"א","ב","ג","ד","ה","ו","ש"},0)-G139-1,7)+1),"א","ב","ג","ד","ה","ו","ש")</f>
        <v>ה</v>
      </c>
      <c r="I139" s="36"/>
      <c r="J139" s="48" t="s">
        <v>25</v>
      </c>
      <c r="K139" s="47"/>
      <c r="L139" s="47"/>
      <c r="M139" s="47"/>
      <c r="N139" s="54"/>
    </row>
    <row r="140" spans="1:14" x14ac:dyDescent="0.25">
      <c r="A140" s="21">
        <v>1142</v>
      </c>
      <c r="B140" s="40" t="s">
        <v>357</v>
      </c>
      <c r="C140" s="53" t="s">
        <v>175</v>
      </c>
      <c r="D140" s="21" t="s">
        <v>358</v>
      </c>
      <c r="E140" s="21" t="s">
        <v>17</v>
      </c>
      <c r="F140" s="22" t="s">
        <v>18</v>
      </c>
      <c r="G140" s="22">
        <v>2</v>
      </c>
      <c r="H140" s="23" t="str">
        <f>CHOOSE(IF(MOD(MATCH(F140,{"א","ב","ג","ד","ה","ו","ש"},0)-G140-1,7)+1&gt;=6,5,MOD(MATCH(F140,{"א","ב","ג","ד","ה","ו","ש"},0)-G140-1,7)+1),"א","ב","ג","ד","ה","ו","ש")</f>
        <v>ג</v>
      </c>
      <c r="I140" s="36"/>
      <c r="J140" s="48" t="s">
        <v>19</v>
      </c>
      <c r="K140" s="47"/>
      <c r="L140" s="47"/>
      <c r="M140" s="47"/>
      <c r="N140" s="54"/>
    </row>
    <row r="141" spans="1:14" x14ac:dyDescent="0.25">
      <c r="A141" s="32">
        <v>1125</v>
      </c>
      <c r="B141" s="41" t="s">
        <v>359</v>
      </c>
      <c r="C141" s="55" t="s">
        <v>123</v>
      </c>
      <c r="D141" s="32" t="s">
        <v>360</v>
      </c>
      <c r="E141" s="32" t="s">
        <v>23</v>
      </c>
      <c r="F141" s="33" t="s">
        <v>24</v>
      </c>
      <c r="G141" s="33">
        <v>4</v>
      </c>
      <c r="H141" s="34" t="str">
        <f>CHOOSE(IF(MOD(MATCH(F141,{"א","ב","ג","ד","ה","ו","ש"},0)-G141-1,7)+1&gt;=6,5,MOD(MATCH(F141,{"א","ב","ג","ד","ה","ו","ש"},0)-G141-1,7)+1),"א","ב","ג","ד","ה","ו","ש")</f>
        <v>ה</v>
      </c>
      <c r="I141" s="36"/>
      <c r="J141" s="48" t="s">
        <v>25</v>
      </c>
      <c r="K141" s="47"/>
      <c r="L141" s="47"/>
      <c r="M141" s="47"/>
      <c r="N141" s="54"/>
    </row>
    <row r="142" spans="1:14" x14ac:dyDescent="0.25">
      <c r="A142" s="32">
        <v>11104</v>
      </c>
      <c r="B142" s="41" t="s">
        <v>361</v>
      </c>
      <c r="C142" s="55" t="s">
        <v>123</v>
      </c>
      <c r="D142" s="32" t="s">
        <v>362</v>
      </c>
      <c r="E142" s="32" t="s">
        <v>23</v>
      </c>
      <c r="F142" s="33" t="s">
        <v>24</v>
      </c>
      <c r="G142" s="33">
        <v>4</v>
      </c>
      <c r="H142" s="34" t="str">
        <f>CHOOSE(IF(MOD(MATCH(F142,{"א","ב","ג","ד","ה","ו","ש"},0)-G142-1,7)+1&gt;=6,5,MOD(MATCH(F142,{"א","ב","ג","ד","ה","ו","ש"},0)-G142-1,7)+1),"א","ב","ג","ד","ה","ו","ש")</f>
        <v>ה</v>
      </c>
      <c r="I142" s="36"/>
      <c r="J142" s="48" t="s">
        <v>25</v>
      </c>
      <c r="K142" s="47"/>
      <c r="L142" s="47"/>
      <c r="M142" s="47"/>
      <c r="N142" s="54"/>
    </row>
    <row r="143" spans="1:14" x14ac:dyDescent="0.25">
      <c r="A143" s="32">
        <v>1126</v>
      </c>
      <c r="B143" s="41" t="s">
        <v>363</v>
      </c>
      <c r="C143" s="55" t="s">
        <v>129</v>
      </c>
      <c r="D143" s="32" t="s">
        <v>364</v>
      </c>
      <c r="E143" s="32" t="s">
        <v>23</v>
      </c>
      <c r="F143" s="33" t="s">
        <v>24</v>
      </c>
      <c r="G143" s="33">
        <v>4</v>
      </c>
      <c r="H143" s="34" t="str">
        <f>CHOOSE(IF(MOD(MATCH(F143,{"א","ב","ג","ד","ה","ו","ש"},0)-G143-1,7)+1&gt;=6,5,MOD(MATCH(F143,{"א","ב","ג","ד","ה","ו","ש"},0)-G143-1,7)+1),"א","ב","ג","ד","ה","ו","ש")</f>
        <v>ה</v>
      </c>
      <c r="I143" s="36"/>
      <c r="J143" s="48" t="s">
        <v>25</v>
      </c>
      <c r="K143" s="47"/>
      <c r="L143" s="47"/>
      <c r="M143" s="47"/>
      <c r="N143" s="54"/>
    </row>
    <row r="144" spans="1:14" x14ac:dyDescent="0.25">
      <c r="A144" s="25">
        <v>1160</v>
      </c>
      <c r="B144" s="43" t="s">
        <v>365</v>
      </c>
      <c r="C144" s="58" t="s">
        <v>136</v>
      </c>
      <c r="D144" s="25" t="s">
        <v>366</v>
      </c>
      <c r="E144" s="25" t="s">
        <v>71</v>
      </c>
      <c r="F144" s="26" t="s">
        <v>72</v>
      </c>
      <c r="G144" s="26">
        <v>2</v>
      </c>
      <c r="H144" s="27" t="str">
        <f>CHOOSE(IF(MOD(MATCH(F144,{"א","ב","ג","ד","ה","ו","ש"},0)-G144-1,7)+1&gt;=6,5,MOD(MATCH(F144,{"א","ב","ג","ד","ה","ו","ש"},0)-G144-1,7)+1),"א","ב","ג","ד","ה","ו","ש")</f>
        <v>א</v>
      </c>
      <c r="I144" s="36"/>
      <c r="J144" s="48" t="s">
        <v>73</v>
      </c>
      <c r="K144" s="47"/>
      <c r="L144" s="47"/>
      <c r="M144" s="47"/>
      <c r="N144" s="54"/>
    </row>
    <row r="145" spans="1:14" x14ac:dyDescent="0.25">
      <c r="A145" s="32">
        <v>1158</v>
      </c>
      <c r="B145" s="41" t="s">
        <v>367</v>
      </c>
      <c r="C145" s="55" t="s">
        <v>123</v>
      </c>
      <c r="D145" s="32" t="s">
        <v>368</v>
      </c>
      <c r="E145" s="32" t="s">
        <v>23</v>
      </c>
      <c r="F145" s="33" t="s">
        <v>24</v>
      </c>
      <c r="G145" s="33">
        <v>4</v>
      </c>
      <c r="H145" s="34" t="str">
        <f>CHOOSE(IF(MOD(MATCH(F145,{"א","ב","ג","ד","ה","ו","ש"},0)-G145-1,7)+1&gt;=6,5,MOD(MATCH(F145,{"א","ב","ג","ד","ה","ו","ש"},0)-G145-1,7)+1),"א","ב","ג","ד","ה","ו","ש")</f>
        <v>ה</v>
      </c>
      <c r="I145" s="36"/>
      <c r="J145" s="48" t="s">
        <v>25</v>
      </c>
      <c r="K145" s="47"/>
      <c r="L145" s="47"/>
      <c r="M145" s="47"/>
      <c r="N145" s="54"/>
    </row>
    <row r="146" spans="1:14" x14ac:dyDescent="0.25">
      <c r="A146" s="32">
        <v>1110</v>
      </c>
      <c r="B146" s="41" t="s">
        <v>369</v>
      </c>
      <c r="C146" s="55" t="s">
        <v>53</v>
      </c>
      <c r="D146" s="32" t="s">
        <v>370</v>
      </c>
      <c r="E146" s="32" t="s">
        <v>23</v>
      </c>
      <c r="F146" s="33" t="s">
        <v>24</v>
      </c>
      <c r="G146" s="33">
        <v>4</v>
      </c>
      <c r="H146" s="34" t="str">
        <f>CHOOSE(IF(MOD(MATCH(F146,{"א","ב","ג","ד","ה","ו","ש"},0)-G146-1,7)+1&gt;=6,5,MOD(MATCH(F146,{"א","ב","ג","ד","ה","ו","ש"},0)-G146-1,7)+1),"א","ב","ג","ד","ה","ו","ש")</f>
        <v>ה</v>
      </c>
      <c r="I146" s="36"/>
      <c r="J146" s="48" t="s">
        <v>25</v>
      </c>
      <c r="K146" s="47"/>
      <c r="L146" s="47"/>
      <c r="M146" s="47"/>
      <c r="N146" s="54"/>
    </row>
    <row r="147" spans="1:14" x14ac:dyDescent="0.25">
      <c r="A147" s="25">
        <v>200981</v>
      </c>
      <c r="B147" s="43" t="s">
        <v>371</v>
      </c>
      <c r="C147" s="58" t="s">
        <v>69</v>
      </c>
      <c r="D147" s="25" t="s">
        <v>372</v>
      </c>
      <c r="E147" s="25" t="s">
        <v>71</v>
      </c>
      <c r="F147" s="26" t="s">
        <v>72</v>
      </c>
      <c r="G147" s="26">
        <v>2</v>
      </c>
      <c r="H147" s="27" t="str">
        <f>CHOOSE(IF(MOD(MATCH(F147,{"א","ב","ג","ד","ה","ו","ש"},0)-G147-1,7)+1&gt;=6,5,MOD(MATCH(F147,{"א","ב","ג","ד","ה","ו","ש"},0)-G147-1,7)+1),"א","ב","ג","ד","ה","ו","ש")</f>
        <v>א</v>
      </c>
      <c r="I147" s="38"/>
      <c r="J147" s="46" t="s">
        <v>73</v>
      </c>
      <c r="K147" s="47"/>
      <c r="L147" s="46" t="s">
        <v>73</v>
      </c>
      <c r="M147" s="47"/>
      <c r="N147" s="54"/>
    </row>
    <row r="148" spans="1:14" x14ac:dyDescent="0.25">
      <c r="A148" s="32">
        <v>200205</v>
      </c>
      <c r="B148" s="41" t="s">
        <v>373</v>
      </c>
      <c r="C148" s="55" t="s">
        <v>123</v>
      </c>
      <c r="D148" s="32" t="s">
        <v>374</v>
      </c>
      <c r="E148" s="32" t="s">
        <v>23</v>
      </c>
      <c r="F148" s="33" t="s">
        <v>24</v>
      </c>
      <c r="G148" s="33">
        <v>4</v>
      </c>
      <c r="H148" s="34" t="str">
        <f>CHOOSE(IF(MOD(MATCH(F148,{"א","ב","ג","ד","ה","ו","ש"},0)-G148-1,7)+1&gt;=6,5,MOD(MATCH(F148,{"א","ב","ג","ד","ה","ו","ש"},0)-G148-1,7)+1),"א","ב","ג","ד","ה","ו","ש")</f>
        <v>ה</v>
      </c>
      <c r="I148" s="38"/>
      <c r="J148" s="46" t="s">
        <v>25</v>
      </c>
      <c r="K148" s="47"/>
      <c r="L148" s="47"/>
      <c r="M148" s="47"/>
      <c r="N148" s="56" t="s">
        <v>25</v>
      </c>
    </row>
    <row r="149" spans="1:14" x14ac:dyDescent="0.25">
      <c r="A149" s="32">
        <v>200202</v>
      </c>
      <c r="B149" s="41" t="s">
        <v>375</v>
      </c>
      <c r="C149" s="55" t="s">
        <v>27</v>
      </c>
      <c r="D149" s="32" t="s">
        <v>376</v>
      </c>
      <c r="E149" s="32" t="s">
        <v>23</v>
      </c>
      <c r="F149" s="33" t="s">
        <v>24</v>
      </c>
      <c r="G149" s="33">
        <v>4</v>
      </c>
      <c r="H149" s="34" t="str">
        <f>CHOOSE(IF(MOD(MATCH(F149,{"א","ב","ג","ד","ה","ו","ש"},0)-G149-1,7)+1&gt;=6,5,MOD(MATCH(F149,{"א","ב","ג","ד","ה","ו","ש"},0)-G149-1,7)+1),"א","ב","ג","ד","ה","ו","ש")</f>
        <v>ה</v>
      </c>
      <c r="I149" s="38"/>
      <c r="J149" s="46" t="s">
        <v>25</v>
      </c>
      <c r="K149" s="47"/>
      <c r="L149" s="46" t="s">
        <v>25</v>
      </c>
      <c r="M149" s="47"/>
      <c r="N149" s="54"/>
    </row>
    <row r="150" spans="1:14" x14ac:dyDescent="0.25">
      <c r="A150" s="32">
        <v>200206</v>
      </c>
      <c r="B150" s="41" t="s">
        <v>377</v>
      </c>
      <c r="C150" s="55" t="s">
        <v>378</v>
      </c>
      <c r="D150" s="32" t="s">
        <v>379</v>
      </c>
      <c r="E150" s="32" t="s">
        <v>23</v>
      </c>
      <c r="F150" s="33" t="s">
        <v>24</v>
      </c>
      <c r="G150" s="33">
        <v>4</v>
      </c>
      <c r="H150" s="34" t="str">
        <f>CHOOSE(IF(MOD(MATCH(F150,{"א","ב","ג","ד","ה","ו","ש"},0)-G150-1,7)+1&gt;=6,5,MOD(MATCH(F150,{"א","ב","ג","ד","ה","ו","ש"},0)-G150-1,7)+1),"א","ב","ג","ד","ה","ו","ש")</f>
        <v>ה</v>
      </c>
      <c r="I150" s="38"/>
      <c r="J150" s="46" t="s">
        <v>25</v>
      </c>
      <c r="K150" s="47"/>
      <c r="L150" s="47"/>
      <c r="M150" s="47"/>
      <c r="N150" s="56" t="s">
        <v>25</v>
      </c>
    </row>
    <row r="151" spans="1:14" x14ac:dyDescent="0.25">
      <c r="A151" s="32">
        <v>200201</v>
      </c>
      <c r="B151" s="41" t="s">
        <v>380</v>
      </c>
      <c r="C151" s="55" t="s">
        <v>53</v>
      </c>
      <c r="D151" s="32" t="s">
        <v>381</v>
      </c>
      <c r="E151" s="32" t="s">
        <v>23</v>
      </c>
      <c r="F151" s="33" t="s">
        <v>24</v>
      </c>
      <c r="G151" s="33">
        <v>4</v>
      </c>
      <c r="H151" s="34" t="str">
        <f>CHOOSE(IF(MOD(MATCH(F151,{"א","ב","ג","ד","ה","ו","ש"},0)-G151-1,7)+1&gt;=6,5,MOD(MATCH(F151,{"א","ב","ג","ד","ה","ו","ש"},0)-G151-1,7)+1),"א","ב","ג","ד","ה","ו","ש")</f>
        <v>ה</v>
      </c>
      <c r="I151" s="38"/>
      <c r="J151" s="46" t="s">
        <v>25</v>
      </c>
      <c r="K151" s="47"/>
      <c r="L151" s="46" t="s">
        <v>25</v>
      </c>
      <c r="M151" s="47"/>
      <c r="N151" s="54"/>
    </row>
    <row r="152" spans="1:14" x14ac:dyDescent="0.25">
      <c r="A152" s="32">
        <v>200207</v>
      </c>
      <c r="B152" s="41" t="s">
        <v>382</v>
      </c>
      <c r="C152" s="55" t="s">
        <v>129</v>
      </c>
      <c r="D152" s="32" t="s">
        <v>383</v>
      </c>
      <c r="E152" s="32" t="s">
        <v>23</v>
      </c>
      <c r="F152" s="33" t="s">
        <v>24</v>
      </c>
      <c r="G152" s="33">
        <v>4</v>
      </c>
      <c r="H152" s="34" t="str">
        <f>CHOOSE(IF(MOD(MATCH(F152,{"א","ב","ג","ד","ה","ו","ש"},0)-G152-1,7)+1&gt;=6,5,MOD(MATCH(F152,{"א","ב","ג","ד","ה","ו","ש"},0)-G152-1,7)+1),"א","ב","ג","ד","ה","ו","ש")</f>
        <v>ה</v>
      </c>
      <c r="I152" s="38"/>
      <c r="J152" s="46" t="s">
        <v>73</v>
      </c>
      <c r="K152" s="47"/>
      <c r="L152" s="47"/>
      <c r="M152" s="47"/>
      <c r="N152" s="56" t="s">
        <v>73</v>
      </c>
    </row>
    <row r="153" spans="1:14" x14ac:dyDescent="0.25">
      <c r="A153" s="32">
        <v>200200</v>
      </c>
      <c r="B153" s="41" t="s">
        <v>384</v>
      </c>
      <c r="C153" s="55" t="s">
        <v>53</v>
      </c>
      <c r="D153" s="32" t="s">
        <v>385</v>
      </c>
      <c r="E153" s="32" t="s">
        <v>23</v>
      </c>
      <c r="F153" s="33" t="s">
        <v>24</v>
      </c>
      <c r="G153" s="33">
        <v>4</v>
      </c>
      <c r="H153" s="34" t="str">
        <f>CHOOSE(IF(MOD(MATCH(F153,{"א","ב","ג","ד","ה","ו","ש"},0)-G153-1,7)+1&gt;=6,5,MOD(MATCH(F153,{"א","ב","ג","ד","ה","ו","ש"},0)-G153-1,7)+1),"א","ב","ג","ד","ה","ו","ש")</f>
        <v>ה</v>
      </c>
      <c r="I153" s="38"/>
      <c r="J153" s="46" t="s">
        <v>25</v>
      </c>
      <c r="K153" s="47"/>
      <c r="L153" s="46" t="s">
        <v>25</v>
      </c>
      <c r="M153" s="47"/>
      <c r="N153" s="54"/>
    </row>
    <row r="154" spans="1:14" x14ac:dyDescent="0.25">
      <c r="A154" s="24">
        <v>200695</v>
      </c>
      <c r="B154" s="40" t="s">
        <v>386</v>
      </c>
      <c r="C154" s="53" t="s">
        <v>105</v>
      </c>
      <c r="D154" s="21" t="s">
        <v>387</v>
      </c>
      <c r="E154" s="21" t="s">
        <v>17</v>
      </c>
      <c r="F154" s="22" t="s">
        <v>18</v>
      </c>
      <c r="G154" s="22">
        <v>2</v>
      </c>
      <c r="H154" s="23" t="str">
        <f>CHOOSE(IF(MOD(MATCH(F154,{"א","ב","ג","ד","ה","ו","ש"},0)-G154-1,7)+1&gt;=6,5,MOD(MATCH(F154,{"א","ב","ג","ד","ה","ו","ש"},0)-G154-1,7)+1),"א","ב","ג","ד","ה","ו","ש")</f>
        <v>ג</v>
      </c>
      <c r="I154" s="38"/>
      <c r="J154" s="46" t="s">
        <v>19</v>
      </c>
      <c r="K154" s="47"/>
      <c r="L154" s="47"/>
      <c r="M154" s="47"/>
      <c r="N154" s="56" t="s">
        <v>19</v>
      </c>
    </row>
    <row r="155" spans="1:14" x14ac:dyDescent="0.25">
      <c r="A155" s="32">
        <v>201013</v>
      </c>
      <c r="B155" s="41" t="s">
        <v>388</v>
      </c>
      <c r="C155" s="55" t="s">
        <v>27</v>
      </c>
      <c r="D155" s="32" t="s">
        <v>389</v>
      </c>
      <c r="E155" s="32" t="s">
        <v>23</v>
      </c>
      <c r="F155" s="33" t="s">
        <v>24</v>
      </c>
      <c r="G155" s="33">
        <v>4</v>
      </c>
      <c r="H155" s="34" t="str">
        <f>CHOOSE(IF(MOD(MATCH(F155,{"א","ב","ג","ד","ה","ו","ש"},0)-G155-1,7)+1&gt;=6,5,MOD(MATCH(F155,{"א","ב","ג","ד","ה","ו","ש"},0)-G155-1,7)+1),"א","ב","ג","ד","ה","ו","ש")</f>
        <v>ה</v>
      </c>
      <c r="I155" s="38"/>
      <c r="J155" s="46" t="s">
        <v>25</v>
      </c>
      <c r="K155" s="47"/>
      <c r="L155" s="46" t="s">
        <v>25</v>
      </c>
      <c r="M155" s="47"/>
      <c r="N155" s="54"/>
    </row>
    <row r="156" spans="1:14" x14ac:dyDescent="0.25">
      <c r="A156" s="32">
        <v>201044</v>
      </c>
      <c r="B156" s="41" t="s">
        <v>390</v>
      </c>
      <c r="C156" s="55" t="s">
        <v>129</v>
      </c>
      <c r="D156" s="32" t="s">
        <v>391</v>
      </c>
      <c r="E156" s="32" t="s">
        <v>23</v>
      </c>
      <c r="F156" s="33" t="s">
        <v>24</v>
      </c>
      <c r="G156" s="33">
        <v>4</v>
      </c>
      <c r="H156" s="34" t="str">
        <f>CHOOSE(IF(MOD(MATCH(F156,{"א","ב","ג","ד","ה","ו","ש"},0)-G156-1,7)+1&gt;=6,5,MOD(MATCH(F156,{"א","ב","ג","ד","ה","ו","ש"},0)-G156-1,7)+1),"א","ב","ג","ד","ה","ו","ש")</f>
        <v>ה</v>
      </c>
      <c r="I156" s="38"/>
      <c r="J156" s="46" t="s">
        <v>73</v>
      </c>
      <c r="K156" s="47"/>
      <c r="L156" s="47"/>
      <c r="M156" s="47"/>
      <c r="N156" s="56" t="s">
        <v>73</v>
      </c>
    </row>
    <row r="157" spans="1:14" x14ac:dyDescent="0.25">
      <c r="A157" s="32">
        <v>200888</v>
      </c>
      <c r="B157" s="41" t="s">
        <v>392</v>
      </c>
      <c r="C157" s="55" t="s">
        <v>290</v>
      </c>
      <c r="D157" s="32" t="s">
        <v>393</v>
      </c>
      <c r="E157" s="32" t="s">
        <v>23</v>
      </c>
      <c r="F157" s="33" t="s">
        <v>24</v>
      </c>
      <c r="G157" s="33">
        <v>4</v>
      </c>
      <c r="H157" s="34" t="str">
        <f>CHOOSE(IF(MOD(MATCH(F157,{"א","ב","ג","ד","ה","ו","ש"},0)-G157-1,7)+1&gt;=6,5,MOD(MATCH(F157,{"א","ב","ג","ד","ה","ו","ש"},0)-G157-1,7)+1),"א","ב","ג","ד","ה","ו","ש")</f>
        <v>ה</v>
      </c>
      <c r="I157" s="37"/>
      <c r="J157" s="49" t="s">
        <v>25</v>
      </c>
      <c r="K157" s="47"/>
      <c r="L157" s="49" t="s">
        <v>25</v>
      </c>
      <c r="M157" s="47"/>
      <c r="N157" s="60" t="s">
        <v>25</v>
      </c>
    </row>
    <row r="158" spans="1:14" x14ac:dyDescent="0.25">
      <c r="A158" s="32">
        <v>200897</v>
      </c>
      <c r="B158" s="41" t="s">
        <v>394</v>
      </c>
      <c r="C158" s="55" t="s">
        <v>395</v>
      </c>
      <c r="D158" s="32" t="s">
        <v>396</v>
      </c>
      <c r="E158" s="32" t="s">
        <v>23</v>
      </c>
      <c r="F158" s="33" t="s">
        <v>24</v>
      </c>
      <c r="G158" s="33">
        <v>4</v>
      </c>
      <c r="H158" s="34" t="str">
        <f>CHOOSE(IF(MOD(MATCH(F158,{"א","ב","ג","ד","ה","ו","ש"},0)-G158-1,7)+1&gt;=6,5,MOD(MATCH(F158,{"א","ב","ג","ד","ה","ו","ש"},0)-G158-1,7)+1),"א","ב","ג","ד","ה","ו","ש")</f>
        <v>ה</v>
      </c>
      <c r="I158" s="37"/>
      <c r="J158" s="49" t="s">
        <v>73</v>
      </c>
      <c r="K158" s="47"/>
      <c r="L158" s="49" t="s">
        <v>73</v>
      </c>
      <c r="M158" s="47"/>
      <c r="N158" s="60" t="s">
        <v>73</v>
      </c>
    </row>
    <row r="159" spans="1:14" x14ac:dyDescent="0.25">
      <c r="A159" s="21">
        <v>200889</v>
      </c>
      <c r="B159" s="40" t="s">
        <v>397</v>
      </c>
      <c r="C159" s="53" t="s">
        <v>58</v>
      </c>
      <c r="D159" s="21" t="s">
        <v>398</v>
      </c>
      <c r="E159" s="21" t="s">
        <v>17</v>
      </c>
      <c r="F159" s="22" t="s">
        <v>18</v>
      </c>
      <c r="G159" s="22">
        <v>2</v>
      </c>
      <c r="H159" s="23" t="str">
        <f>CHOOSE(IF(MOD(MATCH(F159,{"א","ב","ג","ד","ה","ו","ש"},0)-G159-1,7)+1&gt;=6,5,MOD(MATCH(F159,{"א","ב","ג","ד","ה","ו","ש"},0)-G159-1,7)+1),"א","ב","ג","ד","ה","ו","ש")</f>
        <v>ג</v>
      </c>
      <c r="I159" s="37"/>
      <c r="J159" s="49" t="s">
        <v>19</v>
      </c>
      <c r="K159" s="47"/>
      <c r="L159" s="49" t="s">
        <v>19</v>
      </c>
      <c r="M159" s="47"/>
      <c r="N159" s="60" t="s">
        <v>19</v>
      </c>
    </row>
    <row r="160" spans="1:14" x14ac:dyDescent="0.25">
      <c r="A160" s="21">
        <v>200890</v>
      </c>
      <c r="B160" s="40" t="s">
        <v>399</v>
      </c>
      <c r="C160" s="53" t="s">
        <v>33</v>
      </c>
      <c r="D160" s="21" t="s">
        <v>400</v>
      </c>
      <c r="E160" s="21" t="s">
        <v>17</v>
      </c>
      <c r="F160" s="22" t="s">
        <v>18</v>
      </c>
      <c r="G160" s="22">
        <v>2</v>
      </c>
      <c r="H160" s="23" t="str">
        <f>CHOOSE(IF(MOD(MATCH(F160,{"א","ב","ג","ד","ה","ו","ש"},0)-G160-1,7)+1&gt;=6,5,MOD(MATCH(F160,{"א","ב","ג","ד","ה","ו","ש"},0)-G160-1,7)+1),"א","ב","ג","ד","ה","ו","ש")</f>
        <v>ג</v>
      </c>
      <c r="I160" s="37"/>
      <c r="J160" s="49" t="s">
        <v>19</v>
      </c>
      <c r="K160" s="47"/>
      <c r="L160" s="49" t="s">
        <v>19</v>
      </c>
      <c r="M160" s="47"/>
      <c r="N160" s="60" t="s">
        <v>19</v>
      </c>
    </row>
    <row r="161" spans="1:14" x14ac:dyDescent="0.25">
      <c r="A161" s="21">
        <v>200892</v>
      </c>
      <c r="B161" s="40" t="s">
        <v>401</v>
      </c>
      <c r="C161" s="53" t="s">
        <v>63</v>
      </c>
      <c r="D161" s="21" t="s">
        <v>402</v>
      </c>
      <c r="E161" s="21" t="s">
        <v>17</v>
      </c>
      <c r="F161" s="22" t="s">
        <v>18</v>
      </c>
      <c r="G161" s="22">
        <v>2</v>
      </c>
      <c r="H161" s="23" t="str">
        <f>CHOOSE(IF(MOD(MATCH(F161,{"א","ב","ג","ד","ה","ו","ש"},0)-G161-1,7)+1&gt;=6,5,MOD(MATCH(F161,{"א","ב","ג","ד","ה","ו","ש"},0)-G161-1,7)+1),"א","ב","ג","ד","ה","ו","ש")</f>
        <v>ג</v>
      </c>
      <c r="I161" s="37"/>
      <c r="J161" s="49" t="s">
        <v>155</v>
      </c>
      <c r="K161" s="47"/>
      <c r="L161" s="49" t="s">
        <v>155</v>
      </c>
      <c r="M161" s="47"/>
      <c r="N161" s="60" t="s">
        <v>155</v>
      </c>
    </row>
    <row r="162" spans="1:14" x14ac:dyDescent="0.25">
      <c r="A162" s="28">
        <v>200976</v>
      </c>
      <c r="B162" s="42" t="s">
        <v>403</v>
      </c>
      <c r="C162" s="57" t="s">
        <v>78</v>
      </c>
      <c r="D162" s="28" t="s">
        <v>404</v>
      </c>
      <c r="E162" s="28" t="s">
        <v>41</v>
      </c>
      <c r="F162" s="29" t="s">
        <v>42</v>
      </c>
      <c r="G162" s="29">
        <v>3</v>
      </c>
      <c r="H162" s="30" t="str">
        <f>CHOOSE(IF(MOD(MATCH(F162,{"א","ב","ג","ד","ה","ו","ש"},0)-G162-1,7)+1&gt;=6,5,MOD(MATCH(F162,{"א","ב","ג","ד","ה","ו","ש"},0)-G162-1,7)+1),"א","ב","ג","ד","ה","ו","ש")</f>
        <v>ה</v>
      </c>
      <c r="I162" s="37"/>
      <c r="J162" s="49" t="s">
        <v>125</v>
      </c>
      <c r="K162" s="49" t="s">
        <v>125</v>
      </c>
      <c r="L162" s="49" t="s">
        <v>125</v>
      </c>
      <c r="M162" s="49" t="s">
        <v>125</v>
      </c>
      <c r="N162" s="60" t="s">
        <v>125</v>
      </c>
    </row>
    <row r="163" spans="1:14" x14ac:dyDescent="0.25">
      <c r="A163" s="18">
        <v>201003</v>
      </c>
      <c r="B163" s="44" t="s">
        <v>405</v>
      </c>
      <c r="C163" s="59" t="s">
        <v>120</v>
      </c>
      <c r="D163" s="18" t="s">
        <v>406</v>
      </c>
      <c r="E163" s="18" t="s">
        <v>120</v>
      </c>
      <c r="F163" s="19" t="s">
        <v>24</v>
      </c>
      <c r="G163" s="19">
        <v>4</v>
      </c>
      <c r="H163" s="20" t="str">
        <f>CHOOSE(IF(MOD(MATCH(F163,{"א","ב","ג","ד","ה","ו","ש"},0)-G163-1,7)+1&gt;=6,5,MOD(MATCH(F163,{"א","ב","ג","ד","ה","ו","ש"},0)-G163-1,7)+1),"א","ב","ג","ד","ה","ו","ש")</f>
        <v>ה</v>
      </c>
      <c r="I163" s="37"/>
      <c r="J163" s="49" t="s">
        <v>125</v>
      </c>
      <c r="K163" s="49" t="s">
        <v>125</v>
      </c>
      <c r="L163" s="49" t="s">
        <v>125</v>
      </c>
      <c r="M163" s="49" t="s">
        <v>125</v>
      </c>
      <c r="N163" s="60" t="s">
        <v>125</v>
      </c>
    </row>
    <row r="164" spans="1:14" x14ac:dyDescent="0.25">
      <c r="A164" s="32">
        <v>200904</v>
      </c>
      <c r="B164" s="41" t="s">
        <v>407</v>
      </c>
      <c r="C164" s="55" t="s">
        <v>87</v>
      </c>
      <c r="D164" s="32" t="s">
        <v>408</v>
      </c>
      <c r="E164" s="32" t="s">
        <v>23</v>
      </c>
      <c r="F164" s="33" t="s">
        <v>24</v>
      </c>
      <c r="G164" s="33">
        <v>4</v>
      </c>
      <c r="H164" s="34" t="str">
        <f>CHOOSE(IF(MOD(MATCH(F164,{"א","ב","ג","ד","ה","ו","ש"},0)-G164-1,7)+1&gt;=6,5,MOD(MATCH(F164,{"א","ב","ג","ד","ה","ו","ש"},0)-G164-1,7)+1),"א","ב","ג","ד","ה","ו","ש")</f>
        <v>ה</v>
      </c>
      <c r="I164" s="37"/>
      <c r="J164" s="49" t="s">
        <v>73</v>
      </c>
      <c r="K164" s="47"/>
      <c r="L164" s="49" t="s">
        <v>73</v>
      </c>
      <c r="M164" s="47"/>
      <c r="N164" s="60" t="s">
        <v>73</v>
      </c>
    </row>
    <row r="165" spans="1:14" x14ac:dyDescent="0.25">
      <c r="A165" s="28">
        <v>200894</v>
      </c>
      <c r="B165" s="42" t="s">
        <v>409</v>
      </c>
      <c r="C165" s="57" t="s">
        <v>410</v>
      </c>
      <c r="D165" s="28" t="s">
        <v>411</v>
      </c>
      <c r="E165" s="28" t="s">
        <v>41</v>
      </c>
      <c r="F165" s="29" t="s">
        <v>42</v>
      </c>
      <c r="G165" s="29">
        <v>3</v>
      </c>
      <c r="H165" s="30" t="str">
        <f>CHOOSE(IF(MOD(MATCH(F165,{"א","ב","ג","ד","ה","ו","ש"},0)-G165-1,7)+1&gt;=6,5,MOD(MATCH(F165,{"א","ב","ג","ד","ה","ו","ש"},0)-G165-1,7)+1),"א","ב","ג","ד","ה","ו","ש")</f>
        <v>ה</v>
      </c>
      <c r="I165" s="37"/>
      <c r="J165" s="49" t="s">
        <v>125</v>
      </c>
      <c r="K165" s="49" t="s">
        <v>125</v>
      </c>
      <c r="L165" s="49" t="s">
        <v>125</v>
      </c>
      <c r="M165" s="49" t="s">
        <v>125</v>
      </c>
      <c r="N165" s="60" t="s">
        <v>125</v>
      </c>
    </row>
    <row r="166" spans="1:14" x14ac:dyDescent="0.25">
      <c r="A166" s="32">
        <v>200896</v>
      </c>
      <c r="B166" s="41" t="s">
        <v>412</v>
      </c>
      <c r="C166" s="55" t="s">
        <v>50</v>
      </c>
      <c r="D166" s="32" t="s">
        <v>413</v>
      </c>
      <c r="E166" s="32" t="s">
        <v>23</v>
      </c>
      <c r="F166" s="33" t="s">
        <v>24</v>
      </c>
      <c r="G166" s="33">
        <v>4</v>
      </c>
      <c r="H166" s="34" t="str">
        <f>CHOOSE(IF(MOD(MATCH(F166,{"א","ב","ג","ד","ה","ו","ש"},0)-G166-1,7)+1&gt;=6,5,MOD(MATCH(F166,{"א","ב","ג","ד","ה","ו","ש"},0)-G166-1,7)+1),"א","ב","ג","ד","ה","ו","ש")</f>
        <v>ה</v>
      </c>
      <c r="I166" s="37"/>
      <c r="J166" s="49" t="s">
        <v>73</v>
      </c>
      <c r="K166" s="47"/>
      <c r="L166" s="49" t="s">
        <v>73</v>
      </c>
      <c r="M166" s="47"/>
      <c r="N166" s="60" t="s">
        <v>73</v>
      </c>
    </row>
    <row r="167" spans="1:14" x14ac:dyDescent="0.25">
      <c r="A167" s="32">
        <v>200996</v>
      </c>
      <c r="B167" s="41" t="s">
        <v>414</v>
      </c>
      <c r="C167" s="55" t="s">
        <v>44</v>
      </c>
      <c r="D167" s="32" t="s">
        <v>415</v>
      </c>
      <c r="E167" s="32" t="s">
        <v>23</v>
      </c>
      <c r="F167" s="33" t="s">
        <v>24</v>
      </c>
      <c r="G167" s="33">
        <v>4</v>
      </c>
      <c r="H167" s="34" t="str">
        <f>CHOOSE(IF(MOD(MATCH(F167,{"א","ב","ג","ד","ה","ו","ש"},0)-G167-1,7)+1&gt;=6,5,MOD(MATCH(F167,{"א","ב","ג","ד","ה","ו","ש"},0)-G167-1,7)+1),"א","ב","ג","ד","ה","ו","ש")</f>
        <v>ה</v>
      </c>
      <c r="I167" s="37"/>
      <c r="J167" s="49" t="s">
        <v>73</v>
      </c>
      <c r="K167" s="47"/>
      <c r="L167" s="49" t="s">
        <v>73</v>
      </c>
      <c r="M167" s="47"/>
      <c r="N167" s="60" t="s">
        <v>73</v>
      </c>
    </row>
    <row r="168" spans="1:14" x14ac:dyDescent="0.25">
      <c r="A168" s="25">
        <v>200898</v>
      </c>
      <c r="B168" s="43" t="s">
        <v>416</v>
      </c>
      <c r="C168" s="58" t="s">
        <v>107</v>
      </c>
      <c r="D168" s="25" t="s">
        <v>417</v>
      </c>
      <c r="E168" s="25" t="s">
        <v>71</v>
      </c>
      <c r="F168" s="26" t="s">
        <v>72</v>
      </c>
      <c r="G168" s="26">
        <v>2</v>
      </c>
      <c r="H168" s="27" t="str">
        <f>CHOOSE(IF(MOD(MATCH(F168,{"א","ב","ג","ד","ה","ו","ש"},0)-G168-1,7)+1&gt;=6,5,MOD(MATCH(F168,{"א","ב","ג","ד","ה","ו","ש"},0)-G168-1,7)+1),"א","ב","ג","ד","ה","ו","ש")</f>
        <v>א</v>
      </c>
      <c r="I168" s="37"/>
      <c r="J168" s="49" t="s">
        <v>73</v>
      </c>
      <c r="K168" s="47"/>
      <c r="L168" s="49" t="s">
        <v>73</v>
      </c>
      <c r="M168" s="47"/>
      <c r="N168" s="60" t="s">
        <v>73</v>
      </c>
    </row>
    <row r="169" spans="1:14" x14ac:dyDescent="0.25">
      <c r="A169" s="32">
        <v>200902</v>
      </c>
      <c r="B169" s="41" t="s">
        <v>418</v>
      </c>
      <c r="C169" s="55" t="s">
        <v>27</v>
      </c>
      <c r="D169" s="32" t="s">
        <v>419</v>
      </c>
      <c r="E169" s="32" t="s">
        <v>23</v>
      </c>
      <c r="F169" s="33" t="s">
        <v>24</v>
      </c>
      <c r="G169" s="33">
        <v>4</v>
      </c>
      <c r="H169" s="34" t="str">
        <f>CHOOSE(IF(MOD(MATCH(F169,{"א","ב","ג","ד","ה","ו","ש"},0)-G169-1,7)+1&gt;=6,5,MOD(MATCH(F169,{"א","ב","ג","ד","ה","ו","ש"},0)-G169-1,7)+1),"א","ב","ג","ד","ה","ו","ש")</f>
        <v>ה</v>
      </c>
      <c r="I169" s="37"/>
      <c r="J169" s="49" t="s">
        <v>73</v>
      </c>
      <c r="K169" s="47"/>
      <c r="L169" s="49" t="s">
        <v>73</v>
      </c>
      <c r="M169" s="47"/>
      <c r="N169" s="60" t="s">
        <v>73</v>
      </c>
    </row>
    <row r="170" spans="1:14" x14ac:dyDescent="0.25">
      <c r="A170" s="24">
        <v>201005</v>
      </c>
      <c r="B170" s="40" t="s">
        <v>420</v>
      </c>
      <c r="C170" s="53" t="s">
        <v>252</v>
      </c>
      <c r="D170" s="21" t="s">
        <v>421</v>
      </c>
      <c r="E170" s="21" t="s">
        <v>17</v>
      </c>
      <c r="F170" s="22" t="s">
        <v>18</v>
      </c>
      <c r="G170" s="22">
        <v>2</v>
      </c>
      <c r="H170" s="23" t="str">
        <f>CHOOSE(IF(MOD(MATCH(F170,{"א","ב","ג","ד","ה","ו","ש"},0)-G170-1,7)+1&gt;=6,5,MOD(MATCH(F170,{"א","ב","ג","ד","ה","ו","ש"},0)-G170-1,7)+1),"א","ב","ג","ד","ה","ו","ש")</f>
        <v>ג</v>
      </c>
      <c r="I170" s="37"/>
      <c r="J170" s="49" t="s">
        <v>155</v>
      </c>
      <c r="K170" s="47"/>
      <c r="L170" s="49" t="s">
        <v>155</v>
      </c>
      <c r="M170" s="47"/>
      <c r="N170" s="60" t="s">
        <v>155</v>
      </c>
    </row>
    <row r="171" spans="1:14" x14ac:dyDescent="0.25">
      <c r="A171" s="32">
        <v>200887</v>
      </c>
      <c r="B171" s="41" t="s">
        <v>422</v>
      </c>
      <c r="C171" s="55" t="s">
        <v>423</v>
      </c>
      <c r="D171" s="32" t="s">
        <v>424</v>
      </c>
      <c r="E171" s="32" t="s">
        <v>23</v>
      </c>
      <c r="F171" s="33" t="s">
        <v>24</v>
      </c>
      <c r="G171" s="33">
        <v>4</v>
      </c>
      <c r="H171" s="34" t="str">
        <f>CHOOSE(IF(MOD(MATCH(F171,{"א","ב","ג","ד","ה","ו","ש"},0)-G171-1,7)+1&gt;=6,5,MOD(MATCH(F171,{"א","ב","ג","ד","ה","ו","ש"},0)-G171-1,7)+1),"א","ב","ג","ד","ה","ו","ש")</f>
        <v>ה</v>
      </c>
      <c r="I171" s="37"/>
      <c r="J171" s="49" t="s">
        <v>73</v>
      </c>
      <c r="K171" s="47"/>
      <c r="L171" s="49" t="s">
        <v>73</v>
      </c>
      <c r="M171" s="47"/>
      <c r="N171" s="60" t="s">
        <v>73</v>
      </c>
    </row>
    <row r="172" spans="1:14" x14ac:dyDescent="0.25">
      <c r="A172" s="32">
        <v>200899</v>
      </c>
      <c r="B172" s="41" t="s">
        <v>425</v>
      </c>
      <c r="C172" s="55" t="s">
        <v>182</v>
      </c>
      <c r="D172" s="32" t="s">
        <v>426</v>
      </c>
      <c r="E172" s="32" t="s">
        <v>23</v>
      </c>
      <c r="F172" s="33" t="s">
        <v>24</v>
      </c>
      <c r="G172" s="33">
        <v>4</v>
      </c>
      <c r="H172" s="34" t="str">
        <f>CHOOSE(IF(MOD(MATCH(F172,{"א","ב","ג","ד","ה","ו","ש"},0)-G172-1,7)+1&gt;=6,5,MOD(MATCH(F172,{"א","ב","ג","ד","ה","ו","ש"},0)-G172-1,7)+1),"א","ב","ג","ד","ה","ו","ש")</f>
        <v>ה</v>
      </c>
      <c r="I172" s="37"/>
      <c r="J172" s="49" t="s">
        <v>73</v>
      </c>
      <c r="K172" s="47"/>
      <c r="L172" s="49" t="s">
        <v>73</v>
      </c>
      <c r="M172" s="47"/>
      <c r="N172" s="60" t="s">
        <v>73</v>
      </c>
    </row>
    <row r="173" spans="1:14" x14ac:dyDescent="0.25">
      <c r="A173" s="32">
        <v>200997</v>
      </c>
      <c r="B173" s="41" t="s">
        <v>427</v>
      </c>
      <c r="C173" s="55" t="s">
        <v>129</v>
      </c>
      <c r="D173" s="32" t="s">
        <v>428</v>
      </c>
      <c r="E173" s="32" t="s">
        <v>23</v>
      </c>
      <c r="F173" s="33" t="s">
        <v>24</v>
      </c>
      <c r="G173" s="33">
        <v>4</v>
      </c>
      <c r="H173" s="34" t="str">
        <f>CHOOSE(IF(MOD(MATCH(F173,{"א","ב","ג","ד","ה","ו","ש"},0)-G173-1,7)+1&gt;=6,5,MOD(MATCH(F173,{"א","ב","ג","ד","ה","ו","ש"},0)-G173-1,7)+1),"א","ב","ג","ד","ה","ו","ש")</f>
        <v>ה</v>
      </c>
      <c r="I173" s="37"/>
      <c r="J173" s="49" t="s">
        <v>73</v>
      </c>
      <c r="K173" s="47"/>
      <c r="L173" s="49" t="s">
        <v>73</v>
      </c>
      <c r="M173" s="47"/>
      <c r="N173" s="60" t="s">
        <v>73</v>
      </c>
    </row>
    <row r="174" spans="1:14" x14ac:dyDescent="0.25">
      <c r="A174" s="32">
        <v>200891</v>
      </c>
      <c r="B174" s="41" t="s">
        <v>429</v>
      </c>
      <c r="C174" s="55" t="s">
        <v>430</v>
      </c>
      <c r="D174" s="32" t="s">
        <v>431</v>
      </c>
      <c r="E174" s="32" t="s">
        <v>23</v>
      </c>
      <c r="F174" s="33" t="s">
        <v>24</v>
      </c>
      <c r="G174" s="33">
        <v>4</v>
      </c>
      <c r="H174" s="34" t="str">
        <f>CHOOSE(IF(MOD(MATCH(F174,{"א","ב","ג","ד","ה","ו","ש"},0)-G174-1,7)+1&gt;=6,5,MOD(MATCH(F174,{"א","ב","ג","ד","ה","ו","ש"},0)-G174-1,7)+1),"א","ב","ג","ד","ה","ו","ש")</f>
        <v>ה</v>
      </c>
      <c r="I174" s="37"/>
      <c r="J174" s="49" t="s">
        <v>125</v>
      </c>
      <c r="K174" s="47"/>
      <c r="L174" s="49" t="s">
        <v>125</v>
      </c>
      <c r="M174" s="47"/>
      <c r="N174" s="60" t="s">
        <v>125</v>
      </c>
    </row>
    <row r="175" spans="1:14" x14ac:dyDescent="0.25">
      <c r="A175" s="32">
        <v>200903</v>
      </c>
      <c r="B175" s="41" t="s">
        <v>432</v>
      </c>
      <c r="C175" s="55" t="s">
        <v>423</v>
      </c>
      <c r="D175" s="32" t="s">
        <v>424</v>
      </c>
      <c r="E175" s="32" t="s">
        <v>23</v>
      </c>
      <c r="F175" s="33" t="s">
        <v>24</v>
      </c>
      <c r="G175" s="33">
        <v>4</v>
      </c>
      <c r="H175" s="34" t="str">
        <f>CHOOSE(IF(MOD(MATCH(F175,{"א","ב","ג","ד","ה","ו","ש"},0)-G175-1,7)+1&gt;=6,5,MOD(MATCH(F175,{"א","ב","ג","ד","ה","ו","ש"},0)-G175-1,7)+1),"א","ב","ג","ד","ה","ו","ש")</f>
        <v>ה</v>
      </c>
      <c r="I175" s="37"/>
      <c r="J175" s="49" t="s">
        <v>125</v>
      </c>
      <c r="K175" s="47"/>
      <c r="L175" s="49" t="s">
        <v>125</v>
      </c>
      <c r="M175" s="47"/>
      <c r="N175" s="60" t="s">
        <v>125</v>
      </c>
    </row>
    <row r="176" spans="1:14" x14ac:dyDescent="0.25">
      <c r="A176" s="32">
        <v>200901</v>
      </c>
      <c r="B176" s="41" t="s">
        <v>433</v>
      </c>
      <c r="C176" s="55" t="s">
        <v>423</v>
      </c>
      <c r="D176" s="32" t="s">
        <v>434</v>
      </c>
      <c r="E176" s="32" t="s">
        <v>23</v>
      </c>
      <c r="F176" s="33" t="s">
        <v>24</v>
      </c>
      <c r="G176" s="33">
        <v>4</v>
      </c>
      <c r="H176" s="34" t="str">
        <f>CHOOSE(IF(MOD(MATCH(F176,{"א","ב","ג","ד","ה","ו","ש"},0)-G176-1,7)+1&gt;=6,5,MOD(MATCH(F176,{"א","ב","ג","ד","ה","ו","ש"},0)-G176-1,7)+1),"א","ב","ג","ד","ה","ו","ש")</f>
        <v>ה</v>
      </c>
      <c r="I176" s="37"/>
      <c r="J176" s="49" t="s">
        <v>125</v>
      </c>
      <c r="K176" s="47"/>
      <c r="L176" s="49" t="s">
        <v>125</v>
      </c>
      <c r="M176" s="47"/>
      <c r="N176" s="60" t="s">
        <v>125</v>
      </c>
    </row>
    <row r="177" spans="1:14" x14ac:dyDescent="0.25">
      <c r="A177" s="25">
        <v>200900</v>
      </c>
      <c r="B177" s="43" t="s">
        <v>435</v>
      </c>
      <c r="C177" s="58" t="s">
        <v>69</v>
      </c>
      <c r="D177" s="25" t="s">
        <v>436</v>
      </c>
      <c r="E177" s="25" t="s">
        <v>71</v>
      </c>
      <c r="F177" s="26" t="s">
        <v>72</v>
      </c>
      <c r="G177" s="26">
        <v>2</v>
      </c>
      <c r="H177" s="27" t="str">
        <f>CHOOSE(IF(MOD(MATCH(F177,{"א","ב","ג","ד","ה","ו","ש"},0)-G177-1,7)+1&gt;=6,5,MOD(MATCH(F177,{"א","ב","ג","ד","ה","ו","ש"},0)-G177-1,7)+1),"א","ב","ג","ד","ה","ו","ש")</f>
        <v>א</v>
      </c>
      <c r="I177" s="37"/>
      <c r="J177" s="49" t="s">
        <v>125</v>
      </c>
      <c r="K177" s="47"/>
      <c r="L177" s="49" t="s">
        <v>125</v>
      </c>
      <c r="M177" s="47"/>
      <c r="N177" s="60" t="s">
        <v>125</v>
      </c>
    </row>
    <row r="178" spans="1:14" x14ac:dyDescent="0.25">
      <c r="A178" s="21">
        <v>200940</v>
      </c>
      <c r="B178" s="40" t="s">
        <v>437</v>
      </c>
      <c r="C178" s="53" t="s">
        <v>33</v>
      </c>
      <c r="D178" s="21" t="s">
        <v>438</v>
      </c>
      <c r="E178" s="21" t="s">
        <v>17</v>
      </c>
      <c r="F178" s="22" t="s">
        <v>18</v>
      </c>
      <c r="G178" s="22">
        <v>2</v>
      </c>
      <c r="H178" s="23" t="str">
        <f>CHOOSE(IF(MOD(MATCH(F178,{"א","ב","ג","ד","ה","ו","ש"},0)-G178-1,7)+1&gt;=6,5,MOD(MATCH(F178,{"א","ב","ג","ד","ה","ו","ש"},0)-G178-1,7)+1),"א","ב","ג","ד","ה","ו","ש")</f>
        <v>ג</v>
      </c>
      <c r="I178" s="37"/>
      <c r="J178" s="49" t="s">
        <v>155</v>
      </c>
      <c r="K178" s="47"/>
      <c r="L178" s="49" t="s">
        <v>155</v>
      </c>
      <c r="M178" s="47"/>
      <c r="N178" s="60" t="s">
        <v>155</v>
      </c>
    </row>
    <row r="179" spans="1:14" x14ac:dyDescent="0.25">
      <c r="A179" s="32">
        <v>200941</v>
      </c>
      <c r="B179" s="41" t="s">
        <v>439</v>
      </c>
      <c r="C179" s="55" t="s">
        <v>117</v>
      </c>
      <c r="D179" s="32" t="s">
        <v>440</v>
      </c>
      <c r="E179" s="32" t="s">
        <v>23</v>
      </c>
      <c r="F179" s="33" t="s">
        <v>24</v>
      </c>
      <c r="G179" s="33">
        <v>4</v>
      </c>
      <c r="H179" s="34" t="str">
        <f>CHOOSE(IF(MOD(MATCH(F179,{"א","ב","ג","ד","ה","ו","ש"},0)-G179-1,7)+1&gt;=6,5,MOD(MATCH(F179,{"א","ב","ג","ד","ה","ו","ש"},0)-G179-1,7)+1),"א","ב","ג","ד","ה","ו","ש")</f>
        <v>ה</v>
      </c>
      <c r="I179" s="36"/>
      <c r="J179" s="48" t="s">
        <v>25</v>
      </c>
      <c r="K179" s="47"/>
      <c r="L179" s="47"/>
      <c r="M179" s="47"/>
      <c r="N179" s="54"/>
    </row>
    <row r="180" spans="1:14" x14ac:dyDescent="0.25">
      <c r="A180" s="32">
        <v>200942</v>
      </c>
      <c r="B180" s="41" t="s">
        <v>441</v>
      </c>
      <c r="C180" s="55" t="s">
        <v>87</v>
      </c>
      <c r="D180" s="32" t="s">
        <v>442</v>
      </c>
      <c r="E180" s="32" t="s">
        <v>23</v>
      </c>
      <c r="F180" s="33" t="s">
        <v>24</v>
      </c>
      <c r="G180" s="33">
        <v>4</v>
      </c>
      <c r="H180" s="34" t="str">
        <f>CHOOSE(IF(MOD(MATCH(F180,{"א","ב","ג","ד","ה","ו","ש"},0)-G180-1,7)+1&gt;=6,5,MOD(MATCH(F180,{"א","ב","ג","ד","ה","ו","ש"},0)-G180-1,7)+1),"א","ב","ג","ד","ה","ו","ש")</f>
        <v>ה</v>
      </c>
      <c r="I180" s="36"/>
      <c r="J180" s="48" t="s">
        <v>25</v>
      </c>
      <c r="K180" s="47"/>
      <c r="L180" s="47"/>
      <c r="M180" s="47"/>
      <c r="N180" s="54"/>
    </row>
    <row r="181" spans="1:14" x14ac:dyDescent="0.25">
      <c r="A181" s="32">
        <v>200914</v>
      </c>
      <c r="B181" s="41" t="s">
        <v>443</v>
      </c>
      <c r="C181" s="55" t="s">
        <v>117</v>
      </c>
      <c r="D181" s="32" t="s">
        <v>440</v>
      </c>
      <c r="E181" s="32" t="s">
        <v>23</v>
      </c>
      <c r="F181" s="33" t="s">
        <v>24</v>
      </c>
      <c r="G181" s="33">
        <v>4</v>
      </c>
      <c r="H181" s="34" t="str">
        <f>CHOOSE(IF(MOD(MATCH(F181,{"א","ב","ג","ד","ה","ו","ש"},0)-G181-1,7)+1&gt;=6,5,MOD(MATCH(F181,{"א","ב","ג","ד","ה","ו","ש"},0)-G181-1,7)+1),"א","ב","ג","ד","ה","ו","ש")</f>
        <v>ה</v>
      </c>
      <c r="I181" s="36"/>
      <c r="J181" s="48" t="s">
        <v>25</v>
      </c>
      <c r="K181" s="47"/>
      <c r="L181" s="47"/>
      <c r="M181" s="47"/>
      <c r="N181" s="54"/>
    </row>
    <row r="182" spans="1:14" x14ac:dyDescent="0.25">
      <c r="A182" s="32">
        <v>200938</v>
      </c>
      <c r="B182" s="41" t="s">
        <v>444</v>
      </c>
      <c r="C182" s="55" t="s">
        <v>21</v>
      </c>
      <c r="D182" s="32" t="s">
        <v>445</v>
      </c>
      <c r="E182" s="32" t="s">
        <v>23</v>
      </c>
      <c r="F182" s="33" t="s">
        <v>24</v>
      </c>
      <c r="G182" s="33">
        <v>4</v>
      </c>
      <c r="H182" s="34" t="str">
        <f>CHOOSE(IF(MOD(MATCH(F182,{"א","ב","ג","ד","ה","ו","ש"},0)-G182-1,7)+1&gt;=6,5,MOD(MATCH(F182,{"א","ב","ג","ד","ה","ו","ש"},0)-G182-1,7)+1),"א","ב","ג","ד","ה","ו","ש")</f>
        <v>ה</v>
      </c>
      <c r="I182" s="36"/>
      <c r="J182" s="48" t="s">
        <v>25</v>
      </c>
      <c r="K182" s="47"/>
      <c r="L182" s="47"/>
      <c r="M182" s="47"/>
      <c r="N182" s="54"/>
    </row>
    <row r="183" spans="1:14" x14ac:dyDescent="0.25">
      <c r="A183" s="25">
        <v>200939</v>
      </c>
      <c r="B183" s="43" t="s">
        <v>446</v>
      </c>
      <c r="C183" s="58" t="s">
        <v>136</v>
      </c>
      <c r="D183" s="25" t="s">
        <v>447</v>
      </c>
      <c r="E183" s="25" t="s">
        <v>71</v>
      </c>
      <c r="F183" s="26" t="s">
        <v>72</v>
      </c>
      <c r="G183" s="26">
        <v>2</v>
      </c>
      <c r="H183" s="27" t="str">
        <f>CHOOSE(IF(MOD(MATCH(F183,{"א","ב","ג","ד","ה","ו","ש"},0)-G183-1,7)+1&gt;=6,5,MOD(MATCH(F183,{"א","ב","ג","ד","ה","ו","ש"},0)-G183-1,7)+1),"א","ב","ג","ד","ה","ו","ש")</f>
        <v>א</v>
      </c>
      <c r="I183" s="36"/>
      <c r="J183" s="48" t="s">
        <v>73</v>
      </c>
      <c r="K183" s="47"/>
      <c r="L183" s="47"/>
      <c r="M183" s="47"/>
      <c r="N183" s="54"/>
    </row>
    <row r="184" spans="1:14" x14ac:dyDescent="0.25">
      <c r="A184" s="21">
        <v>200700</v>
      </c>
      <c r="B184" s="40" t="s">
        <v>448</v>
      </c>
      <c r="C184" s="53" t="s">
        <v>175</v>
      </c>
      <c r="D184" s="21" t="s">
        <v>449</v>
      </c>
      <c r="E184" s="21" t="s">
        <v>17</v>
      </c>
      <c r="F184" s="22" t="s">
        <v>18</v>
      </c>
      <c r="G184" s="22">
        <v>2</v>
      </c>
      <c r="H184" s="23" t="str">
        <f>CHOOSE(IF(MOD(MATCH(F184,{"א","ב","ג","ד","ה","ו","ש"},0)-G184-1,7)+1&gt;=6,5,MOD(MATCH(F184,{"א","ב","ג","ד","ה","ו","ש"},0)-G184-1,7)+1),"א","ב","ג","ד","ה","ו","ש")</f>
        <v>ג</v>
      </c>
      <c r="I184" s="37"/>
      <c r="J184" s="49" t="s">
        <v>155</v>
      </c>
      <c r="K184" s="47"/>
      <c r="L184" s="49" t="s">
        <v>155</v>
      </c>
      <c r="M184" s="47"/>
      <c r="N184" s="60" t="s">
        <v>155</v>
      </c>
    </row>
    <row r="185" spans="1:14" x14ac:dyDescent="0.25">
      <c r="A185" s="32">
        <v>200013</v>
      </c>
      <c r="B185" s="41" t="s">
        <v>450</v>
      </c>
      <c r="C185" s="55" t="s">
        <v>53</v>
      </c>
      <c r="D185" s="32" t="s">
        <v>451</v>
      </c>
      <c r="E185" s="32" t="s">
        <v>23</v>
      </c>
      <c r="F185" s="33" t="s">
        <v>24</v>
      </c>
      <c r="G185" s="33">
        <v>4</v>
      </c>
      <c r="H185" s="34" t="str">
        <f>CHOOSE(IF(MOD(MATCH(F185,{"א","ב","ג","ד","ה","ו","ש"},0)-G185-1,7)+1&gt;=6,5,MOD(MATCH(F185,{"א","ב","ג","ד","ה","ו","ש"},0)-G185-1,7)+1),"א","ב","ג","ד","ה","ו","ש")</f>
        <v>ה</v>
      </c>
      <c r="I185" s="38"/>
      <c r="J185" s="46" t="s">
        <v>125</v>
      </c>
      <c r="K185" s="47"/>
      <c r="L185" s="46" t="s">
        <v>125</v>
      </c>
      <c r="M185" s="47"/>
      <c r="N185" s="54"/>
    </row>
    <row r="186" spans="1:14" x14ac:dyDescent="0.25">
      <c r="A186" s="32">
        <v>200120</v>
      </c>
      <c r="B186" s="41" t="s">
        <v>452</v>
      </c>
      <c r="C186" s="55" t="s">
        <v>27</v>
      </c>
      <c r="D186" s="32" t="s">
        <v>453</v>
      </c>
      <c r="E186" s="32" t="s">
        <v>23</v>
      </c>
      <c r="F186" s="33" t="s">
        <v>24</v>
      </c>
      <c r="G186" s="33">
        <v>4</v>
      </c>
      <c r="H186" s="34" t="str">
        <f>CHOOSE(IF(MOD(MATCH(F186,{"א","ב","ג","ד","ה","ו","ש"},0)-G186-1,7)+1&gt;=6,5,MOD(MATCH(F186,{"א","ב","ג","ד","ה","ו","ש"},0)-G186-1,7)+1),"א","ב","ג","ד","ה","ו","ש")</f>
        <v>ה</v>
      </c>
      <c r="I186" s="38"/>
      <c r="J186" s="46" t="s">
        <v>125</v>
      </c>
      <c r="K186" s="47"/>
      <c r="L186" s="47"/>
      <c r="M186" s="47"/>
      <c r="N186" s="56" t="s">
        <v>125</v>
      </c>
    </row>
    <row r="187" spans="1:14" x14ac:dyDescent="0.25">
      <c r="A187" s="25">
        <v>200018</v>
      </c>
      <c r="B187" s="43" t="s">
        <v>454</v>
      </c>
      <c r="C187" s="58" t="s">
        <v>107</v>
      </c>
      <c r="D187" s="25" t="s">
        <v>455</v>
      </c>
      <c r="E187" s="25" t="s">
        <v>71</v>
      </c>
      <c r="F187" s="26" t="s">
        <v>72</v>
      </c>
      <c r="G187" s="26">
        <v>2</v>
      </c>
      <c r="H187" s="27" t="str">
        <f>CHOOSE(IF(MOD(MATCH(F187,{"א","ב","ג","ד","ה","ו","ש"},0)-G187-1,7)+1&gt;=6,5,MOD(MATCH(F187,{"א","ב","ג","ד","ה","ו","ש"},0)-G187-1,7)+1),"א","ב","ג","ד","ה","ו","ש")</f>
        <v>א</v>
      </c>
      <c r="I187" s="38"/>
      <c r="J187" s="46" t="s">
        <v>125</v>
      </c>
      <c r="K187" s="47"/>
      <c r="L187" s="46" t="s">
        <v>125</v>
      </c>
      <c r="M187" s="47"/>
      <c r="N187" s="54"/>
    </row>
    <row r="188" spans="1:14" x14ac:dyDescent="0.25">
      <c r="A188" s="32">
        <v>200956</v>
      </c>
      <c r="B188" s="41" t="s">
        <v>456</v>
      </c>
      <c r="C188" s="55" t="s">
        <v>226</v>
      </c>
      <c r="D188" s="32" t="s">
        <v>227</v>
      </c>
      <c r="E188" s="32" t="s">
        <v>23</v>
      </c>
      <c r="F188" s="33" t="s">
        <v>24</v>
      </c>
      <c r="G188" s="33">
        <v>4</v>
      </c>
      <c r="H188" s="34" t="str">
        <f>CHOOSE(IF(MOD(MATCH(F188,{"א","ב","ג","ד","ה","ו","ש"},0)-G188-1,7)+1&gt;=6,5,MOD(MATCH(F188,{"א","ב","ג","ד","ה","ו","ש"},0)-G188-1,7)+1),"א","ב","ג","ד","ה","ו","ש")</f>
        <v>ה</v>
      </c>
      <c r="I188" s="38"/>
      <c r="J188" s="46" t="s">
        <v>125</v>
      </c>
      <c r="K188" s="47"/>
      <c r="L188" s="47"/>
      <c r="M188" s="47"/>
      <c r="N188" s="56" t="s">
        <v>125</v>
      </c>
    </row>
    <row r="189" spans="1:14" x14ac:dyDescent="0.25">
      <c r="A189" s="21">
        <v>200761</v>
      </c>
      <c r="B189" s="40" t="s">
        <v>457</v>
      </c>
      <c r="C189" s="53" t="s">
        <v>58</v>
      </c>
      <c r="D189" s="21" t="s">
        <v>458</v>
      </c>
      <c r="E189" s="21" t="s">
        <v>17</v>
      </c>
      <c r="F189" s="22" t="s">
        <v>18</v>
      </c>
      <c r="G189" s="22">
        <v>2</v>
      </c>
      <c r="H189" s="23" t="str">
        <f>CHOOSE(IF(MOD(MATCH(F189,{"א","ב","ג","ד","ה","ו","ש"},0)-G189-1,7)+1&gt;=6,5,MOD(MATCH(F189,{"א","ב","ג","ד","ה","ו","ש"},0)-G189-1,7)+1),"א","ב","ג","ד","ה","ו","ש")</f>
        <v>ג</v>
      </c>
      <c r="I189" s="37"/>
      <c r="J189" s="49" t="s">
        <v>155</v>
      </c>
      <c r="K189" s="47"/>
      <c r="L189" s="49" t="s">
        <v>155</v>
      </c>
      <c r="M189" s="47"/>
      <c r="N189" s="60" t="s">
        <v>155</v>
      </c>
    </row>
    <row r="190" spans="1:14" x14ac:dyDescent="0.25">
      <c r="A190" s="32">
        <v>200020</v>
      </c>
      <c r="B190" s="41" t="s">
        <v>459</v>
      </c>
      <c r="C190" s="55" t="s">
        <v>27</v>
      </c>
      <c r="D190" s="32" t="s">
        <v>460</v>
      </c>
      <c r="E190" s="32" t="s">
        <v>23</v>
      </c>
      <c r="F190" s="33" t="s">
        <v>24</v>
      </c>
      <c r="G190" s="33">
        <v>4</v>
      </c>
      <c r="H190" s="34" t="str">
        <f>CHOOSE(IF(MOD(MATCH(F190,{"א","ב","ג","ד","ה","ו","ש"},0)-G190-1,7)+1&gt;=6,5,MOD(MATCH(F190,{"א","ב","ג","ד","ה","ו","ש"},0)-G190-1,7)+1),"א","ב","ג","ד","ה","ו","ש")</f>
        <v>ה</v>
      </c>
      <c r="I190" s="38"/>
      <c r="J190" s="46" t="s">
        <v>125</v>
      </c>
      <c r="K190" s="47"/>
      <c r="L190" s="46" t="s">
        <v>125</v>
      </c>
      <c r="M190" s="47"/>
      <c r="N190" s="54"/>
    </row>
    <row r="191" spans="1:14" x14ac:dyDescent="0.25">
      <c r="A191" s="32">
        <v>200021</v>
      </c>
      <c r="B191" s="41" t="s">
        <v>461</v>
      </c>
      <c r="C191" s="55" t="s">
        <v>27</v>
      </c>
      <c r="D191" s="32" t="s">
        <v>460</v>
      </c>
      <c r="E191" s="32" t="s">
        <v>23</v>
      </c>
      <c r="F191" s="33" t="s">
        <v>24</v>
      </c>
      <c r="G191" s="33">
        <v>4</v>
      </c>
      <c r="H191" s="34" t="str">
        <f>CHOOSE(IF(MOD(MATCH(F191,{"א","ב","ג","ד","ה","ו","ש"},0)-G191-1,7)+1&gt;=6,5,MOD(MATCH(F191,{"א","ב","ג","ד","ה","ו","ש"},0)-G191-1,7)+1),"א","ב","ג","ד","ה","ו","ש")</f>
        <v>ה</v>
      </c>
      <c r="I191" s="38"/>
      <c r="J191" s="46" t="s">
        <v>125</v>
      </c>
      <c r="K191" s="47"/>
      <c r="L191" s="47"/>
      <c r="M191" s="47"/>
      <c r="N191" s="56" t="s">
        <v>125</v>
      </c>
    </row>
    <row r="192" spans="1:14" x14ac:dyDescent="0.25">
      <c r="A192" s="21">
        <v>518</v>
      </c>
      <c r="B192" s="40" t="s">
        <v>462</v>
      </c>
      <c r="C192" s="53" t="s">
        <v>58</v>
      </c>
      <c r="D192" s="21" t="s">
        <v>296</v>
      </c>
      <c r="E192" s="21" t="s">
        <v>17</v>
      </c>
      <c r="F192" s="22" t="s">
        <v>18</v>
      </c>
      <c r="G192" s="22">
        <v>2</v>
      </c>
      <c r="H192" s="23" t="str">
        <f>CHOOSE(IF(MOD(MATCH(F192,{"א","ב","ג","ד","ה","ו","ש"},0)-G192-1,7)+1&gt;=6,5,MOD(MATCH(F192,{"א","ב","ג","ד","ה","ו","ש"},0)-G192-1,7)+1),"א","ב","ג","ד","ה","ו","ש")</f>
        <v>ג</v>
      </c>
      <c r="I192" s="36"/>
      <c r="J192" s="48" t="s">
        <v>19</v>
      </c>
      <c r="K192" s="47"/>
      <c r="L192" s="47"/>
      <c r="M192" s="47"/>
      <c r="N192" s="54"/>
    </row>
    <row r="193" spans="1:14" x14ac:dyDescent="0.25">
      <c r="A193" s="21">
        <v>1530</v>
      </c>
      <c r="B193" s="40" t="s">
        <v>463</v>
      </c>
      <c r="C193" s="53" t="s">
        <v>58</v>
      </c>
      <c r="D193" s="21" t="s">
        <v>464</v>
      </c>
      <c r="E193" s="21" t="s">
        <v>17</v>
      </c>
      <c r="F193" s="22" t="s">
        <v>18</v>
      </c>
      <c r="G193" s="22">
        <v>2</v>
      </c>
      <c r="H193" s="23" t="str">
        <f>CHOOSE(IF(MOD(MATCH(F193,{"א","ב","ג","ד","ה","ו","ש"},0)-G193-1,7)+1&gt;=6,5,MOD(MATCH(F193,{"א","ב","ג","ד","ה","ו","ש"},0)-G193-1,7)+1),"א","ב","ג","ד","ה","ו","ש")</f>
        <v>ג</v>
      </c>
      <c r="I193" s="36"/>
      <c r="J193" s="48" t="s">
        <v>19</v>
      </c>
      <c r="K193" s="47"/>
      <c r="L193" s="47"/>
      <c r="M193" s="47"/>
      <c r="N193" s="54"/>
    </row>
    <row r="194" spans="1:14" x14ac:dyDescent="0.25">
      <c r="A194" s="21">
        <v>1545</v>
      </c>
      <c r="B194" s="40" t="s">
        <v>465</v>
      </c>
      <c r="C194" s="53" t="s">
        <v>33</v>
      </c>
      <c r="D194" s="21" t="s">
        <v>466</v>
      </c>
      <c r="E194" s="21" t="s">
        <v>17</v>
      </c>
      <c r="F194" s="22" t="s">
        <v>18</v>
      </c>
      <c r="G194" s="22">
        <v>2</v>
      </c>
      <c r="H194" s="23" t="str">
        <f>CHOOSE(IF(MOD(MATCH(F194,{"א","ב","ג","ד","ה","ו","ש"},0)-G194-1,7)+1&gt;=6,5,MOD(MATCH(F194,{"א","ב","ג","ד","ה","ו","ש"},0)-G194-1,7)+1),"א","ב","ג","ד","ה","ו","ש")</f>
        <v>ג</v>
      </c>
      <c r="I194" s="36"/>
      <c r="J194" s="48" t="s">
        <v>19</v>
      </c>
      <c r="K194" s="47"/>
      <c r="L194" s="47"/>
      <c r="M194" s="47"/>
      <c r="N194" s="54"/>
    </row>
    <row r="195" spans="1:14" x14ac:dyDescent="0.25">
      <c r="A195" s="21">
        <v>1393</v>
      </c>
      <c r="B195" s="40" t="s">
        <v>467</v>
      </c>
      <c r="C195" s="53" t="s">
        <v>63</v>
      </c>
      <c r="D195" s="21" t="s">
        <v>468</v>
      </c>
      <c r="E195" s="21" t="s">
        <v>17</v>
      </c>
      <c r="F195" s="22" t="s">
        <v>18</v>
      </c>
      <c r="G195" s="22">
        <v>2</v>
      </c>
      <c r="H195" s="23" t="str">
        <f>CHOOSE(IF(MOD(MATCH(F195,{"א","ב","ג","ד","ה","ו","ש"},0)-G195-1,7)+1&gt;=6,5,MOD(MATCH(F195,{"א","ב","ג","ד","ה","ו","ש"},0)-G195-1,7)+1),"א","ב","ג","ד","ה","ו","ש")</f>
        <v>ג</v>
      </c>
      <c r="I195" s="36"/>
      <c r="J195" s="48" t="s">
        <v>19</v>
      </c>
      <c r="K195" s="47"/>
      <c r="L195" s="47"/>
      <c r="M195" s="47"/>
      <c r="N195" s="54"/>
    </row>
    <row r="196" spans="1:14" x14ac:dyDescent="0.25">
      <c r="A196" s="28">
        <v>1560</v>
      </c>
      <c r="B196" s="42" t="s">
        <v>469</v>
      </c>
      <c r="C196" s="57" t="s">
        <v>39</v>
      </c>
      <c r="D196" s="28" t="s">
        <v>470</v>
      </c>
      <c r="E196" s="28" t="s">
        <v>41</v>
      </c>
      <c r="F196" s="29" t="s">
        <v>42</v>
      </c>
      <c r="G196" s="29">
        <v>3</v>
      </c>
      <c r="H196" s="30" t="str">
        <f>CHOOSE(IF(MOD(MATCH(F196,{"א","ב","ג","ד","ה","ו","ש"},0)-G196-1,7)+1&gt;=6,5,MOD(MATCH(F196,{"א","ב","ג","ד","ה","ו","ש"},0)-G196-1,7)+1),"א","ב","ג","ד","ה","ו","ש")</f>
        <v>ה</v>
      </c>
      <c r="I196" s="36"/>
      <c r="J196" s="48" t="s">
        <v>125</v>
      </c>
      <c r="K196" s="48" t="s">
        <v>125</v>
      </c>
      <c r="L196" s="47"/>
      <c r="M196" s="48" t="s">
        <v>125</v>
      </c>
      <c r="N196" s="54"/>
    </row>
    <row r="197" spans="1:14" x14ac:dyDescent="0.25">
      <c r="A197" s="28">
        <v>1563</v>
      </c>
      <c r="B197" s="42" t="s">
        <v>471</v>
      </c>
      <c r="C197" s="57" t="s">
        <v>332</v>
      </c>
      <c r="D197" s="28" t="s">
        <v>472</v>
      </c>
      <c r="E197" s="28" t="s">
        <v>41</v>
      </c>
      <c r="F197" s="29" t="s">
        <v>42</v>
      </c>
      <c r="G197" s="29">
        <v>3</v>
      </c>
      <c r="H197" s="30" t="str">
        <f>CHOOSE(IF(MOD(MATCH(F197,{"א","ב","ג","ד","ה","ו","ש"},0)-G197-1,7)+1&gt;=6,5,MOD(MATCH(F197,{"א","ב","ג","ד","ה","ו","ש"},0)-G197-1,7)+1),"א","ב","ג","ד","ה","ו","ש")</f>
        <v>ה</v>
      </c>
      <c r="I197" s="36"/>
      <c r="J197" s="48" t="s">
        <v>125</v>
      </c>
      <c r="K197" s="48" t="s">
        <v>125</v>
      </c>
      <c r="L197" s="47"/>
      <c r="M197" s="48" t="s">
        <v>125</v>
      </c>
      <c r="N197" s="54"/>
    </row>
    <row r="198" spans="1:14" x14ac:dyDescent="0.25">
      <c r="A198" s="32">
        <v>1557</v>
      </c>
      <c r="B198" s="41" t="s">
        <v>473</v>
      </c>
      <c r="C198" s="55" t="s">
        <v>27</v>
      </c>
      <c r="D198" s="32" t="s">
        <v>474</v>
      </c>
      <c r="E198" s="32" t="s">
        <v>23</v>
      </c>
      <c r="F198" s="33" t="s">
        <v>24</v>
      </c>
      <c r="G198" s="33">
        <v>4</v>
      </c>
      <c r="H198" s="34" t="str">
        <f>CHOOSE(IF(MOD(MATCH(F198,{"א","ב","ג","ד","ה","ו","ש"},0)-G198-1,7)+1&gt;=6,5,MOD(MATCH(F198,{"א","ב","ג","ד","ה","ו","ש"},0)-G198-1,7)+1),"א","ב","ג","ד","ה","ו","ש")</f>
        <v>ה</v>
      </c>
      <c r="I198" s="36"/>
      <c r="J198" s="48" t="s">
        <v>25</v>
      </c>
      <c r="K198" s="47"/>
      <c r="L198" s="47"/>
      <c r="M198" s="47"/>
      <c r="N198" s="54"/>
    </row>
    <row r="199" spans="1:14" x14ac:dyDescent="0.25">
      <c r="A199" s="32">
        <v>1585</v>
      </c>
      <c r="B199" s="41" t="s">
        <v>475</v>
      </c>
      <c r="C199" s="55" t="s">
        <v>75</v>
      </c>
      <c r="D199" s="32" t="s">
        <v>476</v>
      </c>
      <c r="E199" s="32" t="s">
        <v>23</v>
      </c>
      <c r="F199" s="33" t="s">
        <v>24</v>
      </c>
      <c r="G199" s="33">
        <v>4</v>
      </c>
      <c r="H199" s="34" t="str">
        <f>CHOOSE(IF(MOD(MATCH(F199,{"א","ב","ג","ד","ה","ו","ש"},0)-G199-1,7)+1&gt;=6,5,MOD(MATCH(F199,{"א","ב","ג","ד","ה","ו","ש"},0)-G199-1,7)+1),"א","ב","ג","ד","ה","ו","ש")</f>
        <v>ה</v>
      </c>
      <c r="I199" s="36"/>
      <c r="J199" s="48" t="s">
        <v>25</v>
      </c>
      <c r="K199" s="47"/>
      <c r="L199" s="47"/>
      <c r="M199" s="47"/>
      <c r="N199" s="54"/>
    </row>
    <row r="200" spans="1:14" x14ac:dyDescent="0.25">
      <c r="A200" s="24">
        <v>1546</v>
      </c>
      <c r="B200" s="40" t="s">
        <v>477</v>
      </c>
      <c r="C200" s="53" t="s">
        <v>252</v>
      </c>
      <c r="D200" s="21" t="s">
        <v>478</v>
      </c>
      <c r="E200" s="21" t="s">
        <v>17</v>
      </c>
      <c r="F200" s="22" t="s">
        <v>18</v>
      </c>
      <c r="G200" s="22">
        <v>2</v>
      </c>
      <c r="H200" s="23" t="str">
        <f>CHOOSE(IF(MOD(MATCH(F200,{"א","ב","ג","ד","ה","ו","ש"},0)-G200-1,7)+1&gt;=6,5,MOD(MATCH(F200,{"א","ב","ג","ד","ה","ו","ש"},0)-G200-1,7)+1),"א","ב","ג","ד","ה","ו","ש")</f>
        <v>ג</v>
      </c>
      <c r="I200" s="36"/>
      <c r="J200" s="48" t="s">
        <v>19</v>
      </c>
      <c r="K200" s="47"/>
      <c r="L200" s="47"/>
      <c r="M200" s="47"/>
      <c r="N200" s="54"/>
    </row>
    <row r="201" spans="1:14" x14ac:dyDescent="0.25">
      <c r="A201" s="32">
        <v>11380</v>
      </c>
      <c r="B201" s="41" t="s">
        <v>479</v>
      </c>
      <c r="C201" s="55" t="s">
        <v>123</v>
      </c>
      <c r="D201" s="32" t="s">
        <v>426</v>
      </c>
      <c r="E201" s="32" t="s">
        <v>23</v>
      </c>
      <c r="F201" s="33" t="s">
        <v>24</v>
      </c>
      <c r="G201" s="33">
        <v>4</v>
      </c>
      <c r="H201" s="34" t="str">
        <f>CHOOSE(IF(MOD(MATCH(F201,{"א","ב","ג","ד","ה","ו","ש"},0)-G201-1,7)+1&gt;=6,5,MOD(MATCH(F201,{"א","ב","ג","ד","ה","ו","ש"},0)-G201-1,7)+1),"א","ב","ג","ד","ה","ו","ש")</f>
        <v>ה</v>
      </c>
      <c r="I201" s="36"/>
      <c r="J201" s="48" t="s">
        <v>25</v>
      </c>
      <c r="K201" s="47"/>
      <c r="L201" s="47"/>
      <c r="M201" s="47"/>
      <c r="N201" s="54"/>
    </row>
    <row r="202" spans="1:14" ht="15.75" thickBot="1" x14ac:dyDescent="0.3">
      <c r="A202" s="32">
        <v>1579</v>
      </c>
      <c r="B202" s="41" t="s">
        <v>480</v>
      </c>
      <c r="C202" s="62" t="s">
        <v>123</v>
      </c>
      <c r="D202" s="63" t="s">
        <v>481</v>
      </c>
      <c r="E202" s="63" t="s">
        <v>23</v>
      </c>
      <c r="F202" s="64" t="s">
        <v>24</v>
      </c>
      <c r="G202" s="64">
        <v>4</v>
      </c>
      <c r="H202" s="65" t="str">
        <f>CHOOSE(IF(MOD(MATCH(F202,{"א","ב","ג","ד","ה","ו","ש"},0)-G202-1,7)+1&gt;=6,5,MOD(MATCH(F202,{"א","ב","ג","ד","ה","ו","ש"},0)-G202-1,7)+1),"א","ב","ג","ד","ה","ו","ש")</f>
        <v>ה</v>
      </c>
      <c r="I202" s="66"/>
      <c r="J202" s="67" t="s">
        <v>25</v>
      </c>
      <c r="K202" s="68"/>
      <c r="L202" s="68"/>
      <c r="M202" s="68"/>
      <c r="N202" s="69"/>
    </row>
  </sheetData>
  <autoFilter ref="A1:H202" xr:uid="{00000000-0009-0000-0000-000000000000}">
    <sortState xmlns:xlrd2="http://schemas.microsoft.com/office/spreadsheetml/2017/richdata2" ref="A2:H202">
      <sortCondition ref="E2:E202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rightToLeft="1" workbookViewId="0"/>
  </sheetViews>
  <sheetFormatPr defaultRowHeight="15" x14ac:dyDescent="0.25"/>
  <cols>
    <col min="1" max="1" width="26" customWidth="1"/>
    <col min="2" max="2" width="14" customWidth="1"/>
  </cols>
  <sheetData>
    <row r="1" spans="1:2" ht="26.1" customHeight="1" x14ac:dyDescent="0.25">
      <c r="A1" s="1" t="s">
        <v>4</v>
      </c>
      <c r="B1" s="1" t="s">
        <v>482</v>
      </c>
    </row>
    <row r="2" spans="1:2" ht="15" customHeight="1" x14ac:dyDescent="0.25">
      <c r="A2" s="6" t="s">
        <v>23</v>
      </c>
      <c r="B2" s="7">
        <v>117</v>
      </c>
    </row>
    <row r="3" spans="1:2" ht="15" customHeight="1" x14ac:dyDescent="0.25">
      <c r="A3" s="8" t="s">
        <v>71</v>
      </c>
      <c r="B3" s="9">
        <v>17</v>
      </c>
    </row>
    <row r="4" spans="1:2" ht="15" customHeight="1" x14ac:dyDescent="0.25">
      <c r="A4" s="10" t="s">
        <v>120</v>
      </c>
      <c r="B4" s="11">
        <v>5</v>
      </c>
    </row>
    <row r="5" spans="1:2" ht="15" customHeight="1" x14ac:dyDescent="0.25">
      <c r="A5" s="12" t="s">
        <v>17</v>
      </c>
      <c r="B5" s="13">
        <v>54</v>
      </c>
    </row>
    <row r="6" spans="1:2" ht="15" customHeight="1" x14ac:dyDescent="0.25">
      <c r="A6" s="14" t="s">
        <v>41</v>
      </c>
      <c r="B6" s="15">
        <v>24</v>
      </c>
    </row>
    <row r="7" spans="1:2" ht="15" customHeight="1" x14ac:dyDescent="0.25">
      <c r="A7" s="2"/>
      <c r="B7" s="3"/>
    </row>
    <row r="8" spans="1:2" ht="15" customHeight="1" x14ac:dyDescent="0.25">
      <c r="A8" s="4"/>
      <c r="B8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לקוחות לפי אזור</vt:lpstr>
      <vt:lpstr>מקרא אזורים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 Azoulay</cp:lastModifiedBy>
  <dcterms:created xsi:type="dcterms:W3CDTF">2026-04-13T10:29:34Z</dcterms:created>
  <dcterms:modified xsi:type="dcterms:W3CDTF">2026-04-14T13:55:43Z</dcterms:modified>
</cp:coreProperties>
</file>